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ang\OneDrive - Department of Toxics\Documents\QTOF\UCSF_Dimitri_plasma and serum 2024\QC\"/>
    </mc:Choice>
  </mc:AlternateContent>
  <xr:revisionPtr revIDLastSave="0" documentId="13_ncr:1_{C0DBF91A-1F1D-425E-8A6A-68E017553498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QC_neg Spiked" sheetId="3" r:id="rId1"/>
    <sheet name="QC_pos Spike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<sst xmlns="http://schemas.openxmlformats.org/spreadsheetml/2006/main" count="76" uniqueCount="57">
  <si>
    <t>INJ Number</t>
  </si>
  <si>
    <t>Samples</t>
  </si>
  <si>
    <t>M2PFOA</t>
  </si>
  <si>
    <t>PFBA</t>
  </si>
  <si>
    <t>PFDA</t>
  </si>
  <si>
    <t>PFHpA</t>
  </si>
  <si>
    <t>PFHxA</t>
  </si>
  <si>
    <t>PFNA</t>
  </si>
  <si>
    <t>PFOA</t>
  </si>
  <si>
    <t>PFPA</t>
  </si>
  <si>
    <t>Tris(1,3-dichloro-2-propyl) phosphate</t>
  </si>
  <si>
    <t>Tris(2-chloroisopropyl) phosphate</t>
  </si>
  <si>
    <t>Tris(2-chloroethyl) phosphate</t>
  </si>
  <si>
    <t>Triphenyl phosphate D15</t>
  </si>
  <si>
    <t>Triphenyl phosphate</t>
  </si>
  <si>
    <t>Triethyl phosphate</t>
  </si>
  <si>
    <t>Tributyl phosphate</t>
  </si>
  <si>
    <t>DL Cotinine</t>
  </si>
  <si>
    <t>PFHxS</t>
  </si>
  <si>
    <t>PFOS</t>
  </si>
  <si>
    <t>Tripropyl phosphate</t>
  </si>
  <si>
    <t>File ID</t>
  </si>
  <si>
    <t>QC1-neg_r1.d</t>
  </si>
  <si>
    <t>QC1-neg_r2.d</t>
  </si>
  <si>
    <t>QC2-neg_r1.d</t>
  </si>
  <si>
    <t>QC2-neg_r2.d</t>
  </si>
  <si>
    <t>M3PFBA</t>
  </si>
  <si>
    <t>M6PFDA</t>
  </si>
  <si>
    <t>QC1-pos_r1.d</t>
  </si>
  <si>
    <t>QC1-pos_r2.d</t>
  </si>
  <si>
    <t>QC2-pos_r1.d</t>
  </si>
  <si>
    <t>QC2-pos_r2.d</t>
  </si>
  <si>
    <t>QC1-B1_neg_r1.d</t>
  </si>
  <si>
    <t>QC1-B1_neg_r2.d</t>
  </si>
  <si>
    <t>QC2-B1_neg_r1.d</t>
  </si>
  <si>
    <t>QC2-B1_neg_r2.d</t>
  </si>
  <si>
    <t>L-PFBS</t>
  </si>
  <si>
    <t>QC2-B2_neg_r1.d</t>
  </si>
  <si>
    <t>QC2-B2_neg_r2.d</t>
  </si>
  <si>
    <t>QC1-B2_neg_r1.d</t>
  </si>
  <si>
    <t>QC1-B2_neg_r2.d</t>
  </si>
  <si>
    <t>QC1-B1_pos_r1.d</t>
  </si>
  <si>
    <t>QC1-B1_pos_r2.d</t>
  </si>
  <si>
    <t>QC2-B1_pos_r1.d</t>
  </si>
  <si>
    <t>QC2-B1_pos_r2.d</t>
  </si>
  <si>
    <t>QC1-B2_pos_r1.d</t>
  </si>
  <si>
    <t>QC1-B2_pos_r2.d</t>
  </si>
  <si>
    <t>QC2-B2_pos_r1.d</t>
  </si>
  <si>
    <t>QC2-B2_pos_r2.d</t>
  </si>
  <si>
    <t>QC1-B3_neg_r1.d</t>
  </si>
  <si>
    <t>QC1-B3_neg_r2.d</t>
  </si>
  <si>
    <t>QC2-B3_neg_r1.d</t>
  </si>
  <si>
    <t>QC2-B3_neg_r2.d</t>
  </si>
  <si>
    <t>QC1-B3_pos_r1.d</t>
  </si>
  <si>
    <t>QC1-B3_pos_r2.d</t>
  </si>
  <si>
    <t>QC2-B3_pos_r1.d</t>
  </si>
  <si>
    <t>QC2-B3_pos_r2.d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</si>
</sst>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2" applyFont="1" applyAlignment="1">
      <alignment horizontal="center"/>
    </xf>
    <xf numFmtId="11" fontId="4" fillId="0" borderId="0" xfId="1" applyNumberFormat="1" applyFont="1" applyAlignment="1">
      <alignment horizontal="center" vertical="center"/>
    </xf>
    <xf numFmtId="11" fontId="2" fillId="0" borderId="0" xfId="1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1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(M2PFOA) Perfluoro-[1,2,3,4-13C4]octanoic acid</a:t>
            </a:r>
            <a:endParaRPr lang="en-US" sz="1400" b="1"/>
          </a:p>
        </c:rich>
      </c:tx>
      <c:layout>
        <c:manualLayout>
          <c:xMode val="edge"/>
          <c:yMode val="edge"/>
          <c:x val="0.21373498508126224"/>
          <c:y val="3.9639639639639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45147339912234"/>
          <c:y val="0.15917614657605203"/>
          <c:w val="0.8041141677414102"/>
          <c:h val="0.6965217766656948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'QC_neg Spiked'!$A$2:$A$51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'QC_neg Spiked'!$D$2:$D$51</c:f>
              <c:numCache>
                <c:formatCode>General</c:formatCode>
                <c:ptCount val="50"/>
                <c:pt idx="0">
                  <c:v>9097075</c:v>
                </c:pt>
                <c:pt idx="1">
                  <c:v>9075378</c:v>
                </c:pt>
                <c:pt idx="2">
                  <c:v>8665224</c:v>
                </c:pt>
                <c:pt idx="3">
                  <c:v>8548725</c:v>
                </c:pt>
                <c:pt idx="4">
                  <c:v>6670240</c:v>
                </c:pt>
                <c:pt idx="5">
                  <c:v>6576684</c:v>
                </c:pt>
                <c:pt idx="6">
                  <c:v>6247379</c:v>
                </c:pt>
                <c:pt idx="7">
                  <c:v>6228269</c:v>
                </c:pt>
                <c:pt idx="8">
                  <c:v>6208712</c:v>
                </c:pt>
                <c:pt idx="9">
                  <c:v>6010074</c:v>
                </c:pt>
                <c:pt idx="10">
                  <c:v>5349024</c:v>
                </c:pt>
                <c:pt idx="11">
                  <c:v>5305698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4E-4B16-9C2D-DD14CF11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503888"/>
        <c:axId val="591501592"/>
      </c:scatterChart>
      <c:valAx>
        <c:axId val="591503888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number</a:t>
                </a:r>
              </a:p>
            </c:rich>
          </c:tx>
          <c:layout>
            <c:manualLayout>
              <c:xMode val="edge"/>
              <c:yMode val="edge"/>
              <c:x val="0.44432931864825309"/>
              <c:y val="0.91513454757549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01592"/>
        <c:crosses val="autoZero"/>
        <c:crossBetween val="midCat"/>
        <c:majorUnit val="4"/>
      </c:valAx>
      <c:valAx>
        <c:axId val="591501592"/>
        <c:scaling>
          <c:logBase val="2"/>
          <c:orientation val="minMax"/>
          <c:max val="100000000"/>
          <c:min val="10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Abundance</a:t>
                </a:r>
              </a:p>
            </c:rich>
          </c:tx>
          <c:layout>
            <c:manualLayout>
              <c:xMode val="edge"/>
              <c:yMode val="edge"/>
              <c:x val="8.4476356462620944E-3"/>
              <c:y val="0.375498172894299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0388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Perfluoro-n-decanoic acid (PFDA)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3324371917761948"/>
          <c:y val="4.452908944558286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30177049786586"/>
          <c:y val="0.11026996301022726"/>
          <c:w val="0.83847589256822352"/>
          <c:h val="0.7628592620118342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6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45-4B84-B53A-A09A7C263783}"/>
              </c:ext>
            </c:extLst>
          </c:dPt>
          <c:xVal>
            <c:numRef>
              <c:f>'QC_neg Spiked'!$A$2:$A$51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'QC_neg Spiked'!$H$2:$H$51</c:f>
              <c:numCache>
                <c:formatCode>General</c:formatCode>
                <c:ptCount val="50"/>
                <c:pt idx="0">
                  <c:v>1340234</c:v>
                </c:pt>
                <c:pt idx="1">
                  <c:v>1332147</c:v>
                </c:pt>
                <c:pt idx="2">
                  <c:v>1292889</c:v>
                </c:pt>
                <c:pt idx="3">
                  <c:v>1279481</c:v>
                </c:pt>
                <c:pt idx="4">
                  <c:v>1274868</c:v>
                </c:pt>
                <c:pt idx="5">
                  <c:v>1243989</c:v>
                </c:pt>
                <c:pt idx="6">
                  <c:v>1136263</c:v>
                </c:pt>
                <c:pt idx="7">
                  <c:v>1116985</c:v>
                </c:pt>
                <c:pt idx="8">
                  <c:v>1134810</c:v>
                </c:pt>
                <c:pt idx="9">
                  <c:v>1091182</c:v>
                </c:pt>
                <c:pt idx="10">
                  <c:v>976308</c:v>
                </c:pt>
                <c:pt idx="11">
                  <c:v>958195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85-491E-A355-291AECF9E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523624"/>
        <c:axId val="475526904"/>
      </c:scatterChart>
      <c:valAx>
        <c:axId val="475523624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Injection </a:t>
                </a:r>
                <a:r>
                  <a:rPr lang="en-US" sz="1000" b="0" i="0" u="none" strike="noStrike" baseline="0">
                    <a:effectLst/>
                  </a:rPr>
                  <a:t>number</a:t>
                </a:r>
                <a:r>
                  <a:rPr lang="en-US" sz="1000" b="0" i="0" u="none" strike="noStrike" baseline="0"/>
                  <a:t> 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0.42205565105124493"/>
              <c:y val="0.9291835081025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526904"/>
        <c:crosses val="autoZero"/>
        <c:crossBetween val="midCat"/>
        <c:majorUnit val="4"/>
      </c:valAx>
      <c:valAx>
        <c:axId val="475526904"/>
        <c:scaling>
          <c:logBase val="2"/>
          <c:orientation val="minMax"/>
          <c:max val="100000000"/>
          <c:min val="1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1.1767107878638458E-2"/>
              <c:y val="0.386167279264583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523624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Perfluoro-n-octanoic acid (PFOA)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45071552415702"/>
          <c:y val="0.12802073080708662"/>
          <c:w val="0.81143819708614739"/>
          <c:h val="0.7281849778543305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'QC_neg Spiked'!$A$2:$A$51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'QC_neg Spiked'!$L$2:$L$51</c:f>
              <c:numCache>
                <c:formatCode>General</c:formatCode>
                <c:ptCount val="50"/>
                <c:pt idx="0">
                  <c:v>1027146</c:v>
                </c:pt>
                <c:pt idx="1">
                  <c:v>1026609</c:v>
                </c:pt>
                <c:pt idx="2">
                  <c:v>982825</c:v>
                </c:pt>
                <c:pt idx="3">
                  <c:v>979426</c:v>
                </c:pt>
                <c:pt idx="4">
                  <c:v>871127</c:v>
                </c:pt>
                <c:pt idx="5">
                  <c:v>852875</c:v>
                </c:pt>
                <c:pt idx="6">
                  <c:v>771691</c:v>
                </c:pt>
                <c:pt idx="7">
                  <c:v>751865</c:v>
                </c:pt>
                <c:pt idx="8">
                  <c:v>740355</c:v>
                </c:pt>
                <c:pt idx="9">
                  <c:v>719139</c:v>
                </c:pt>
                <c:pt idx="10">
                  <c:v>639549</c:v>
                </c:pt>
                <c:pt idx="11">
                  <c:v>624865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F-4F4A-862C-D00CC1029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836344"/>
        <c:axId val="641837656"/>
      </c:scatterChart>
      <c:valAx>
        <c:axId val="641836344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number</a:t>
                </a:r>
              </a:p>
            </c:rich>
          </c:tx>
          <c:layout>
            <c:manualLayout>
              <c:xMode val="edge"/>
              <c:yMode val="edge"/>
              <c:x val="0.38514381647387624"/>
              <c:y val="0.923386441929133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837656"/>
        <c:crosses val="autoZero"/>
        <c:crossBetween val="midCat"/>
        <c:majorUnit val="4"/>
        <c:minorUnit val="4"/>
      </c:valAx>
      <c:valAx>
        <c:axId val="641837656"/>
        <c:scaling>
          <c:logBase val="2"/>
          <c:orientation val="minMax"/>
          <c:max val="10000000"/>
          <c:min val="1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1.164069171648164E-2"/>
              <c:y val="0.41951525590551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836344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Perfluoro-n-pentanoic acid (PFPA)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14822505393163"/>
          <c:y val="0.1137695134022367"/>
          <c:w val="0.82863014961908066"/>
          <c:h val="0.7823704260380465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'QC_neg Spiked'!$A$2:$A$51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'QC_neg Spiked'!$M$2:$M$51</c:f>
              <c:numCache>
                <c:formatCode>General</c:formatCode>
                <c:ptCount val="50"/>
                <c:pt idx="0">
                  <c:v>268784</c:v>
                </c:pt>
                <c:pt idx="1">
                  <c:v>270536</c:v>
                </c:pt>
                <c:pt idx="2">
                  <c:v>271846</c:v>
                </c:pt>
                <c:pt idx="3">
                  <c:v>274274</c:v>
                </c:pt>
                <c:pt idx="4">
                  <c:v>252204</c:v>
                </c:pt>
                <c:pt idx="5">
                  <c:v>258021</c:v>
                </c:pt>
                <c:pt idx="6">
                  <c:v>215292</c:v>
                </c:pt>
                <c:pt idx="7">
                  <c:v>215036</c:v>
                </c:pt>
                <c:pt idx="8">
                  <c:v>219143</c:v>
                </c:pt>
                <c:pt idx="9">
                  <c:v>212153</c:v>
                </c:pt>
                <c:pt idx="10">
                  <c:v>185817</c:v>
                </c:pt>
                <c:pt idx="11">
                  <c:v>179813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53-4933-9A0F-ED33C64E7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831752"/>
        <c:axId val="641831096"/>
      </c:scatterChart>
      <c:valAx>
        <c:axId val="641831752"/>
        <c:scaling>
          <c:orientation val="minMax"/>
          <c:max val="4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number</a:t>
                </a:r>
              </a:p>
            </c:rich>
          </c:tx>
          <c:layout>
            <c:manualLayout>
              <c:xMode val="edge"/>
              <c:yMode val="edge"/>
              <c:x val="0.47030598005993296"/>
              <c:y val="0.93029959660970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831096"/>
        <c:crosses val="autoZero"/>
        <c:crossBetween val="midCat"/>
        <c:minorUnit val="14"/>
      </c:valAx>
      <c:valAx>
        <c:axId val="641831096"/>
        <c:scaling>
          <c:logBase val="2"/>
          <c:orientation val="minMax"/>
          <c:max val="10000000"/>
          <c:min val="1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1.9672131147540985E-2"/>
              <c:y val="0.447988988522964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831752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  <a:latin typeface="+mn-lt"/>
              </a:rPr>
              <a:t>Perfluorobutane sulfonate (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PFBS)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42200607369452"/>
          <c:y val="0.14557985127242826"/>
          <c:w val="0.84772314327438214"/>
          <c:h val="0.7301268465361138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'QC_neg Spiked'!$A$2:$A$51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'QC_neg Spiked'!$N$2:$N$51</c:f>
              <c:numCache>
                <c:formatCode>General</c:formatCode>
                <c:ptCount val="50"/>
                <c:pt idx="0">
                  <c:v>5201936</c:v>
                </c:pt>
                <c:pt idx="1">
                  <c:v>5090699</c:v>
                </c:pt>
                <c:pt idx="2">
                  <c:v>5000251</c:v>
                </c:pt>
                <c:pt idx="3">
                  <c:v>5062321</c:v>
                </c:pt>
                <c:pt idx="4">
                  <c:v>4236528</c:v>
                </c:pt>
                <c:pt idx="5">
                  <c:v>4157815</c:v>
                </c:pt>
                <c:pt idx="6">
                  <c:v>3823965</c:v>
                </c:pt>
                <c:pt idx="7">
                  <c:v>3823448</c:v>
                </c:pt>
                <c:pt idx="8">
                  <c:v>3882944</c:v>
                </c:pt>
                <c:pt idx="9">
                  <c:v>3762102</c:v>
                </c:pt>
                <c:pt idx="10">
                  <c:v>3435813</c:v>
                </c:pt>
                <c:pt idx="11">
                  <c:v>3333672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CB-4E45-814A-2AB8C3212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519216"/>
        <c:axId val="630519544"/>
      </c:scatterChart>
      <c:valAx>
        <c:axId val="630519216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</a:t>
                </a:r>
                <a:r>
                  <a:rPr lang="en-US" baseline="0"/>
                  <a:t> number</a:t>
                </a:r>
              </a:p>
            </c:rich>
          </c:tx>
          <c:layout>
            <c:manualLayout>
              <c:xMode val="edge"/>
              <c:yMode val="edge"/>
              <c:x val="0.40700469621990765"/>
              <c:y val="0.942473409460987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19544"/>
        <c:crosses val="autoZero"/>
        <c:crossBetween val="midCat"/>
        <c:majorUnit val="4"/>
      </c:valAx>
      <c:valAx>
        <c:axId val="630519544"/>
        <c:scaling>
          <c:logBase val="2"/>
          <c:orientation val="minMax"/>
          <c:max val="100000000"/>
          <c:min val="15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  <a:p>
                <a:pPr>
                  <a:defRPr/>
                </a:pPr>
                <a:endParaRPr lang="en-US" sz="1000"/>
              </a:p>
            </c:rich>
          </c:tx>
          <c:layout>
            <c:manualLayout>
              <c:xMode val="edge"/>
              <c:yMode val="edge"/>
              <c:x val="3.9872029363765479E-3"/>
              <c:y val="0.379716442453876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19216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Perfluoro-n-hexanoic acid (PFHxA)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2844930008748907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88473847563576"/>
          <c:y val="0.13734729890808658"/>
          <c:w val="0.83428042659954693"/>
          <c:h val="0.75747293542991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'QC_neg Spiked'!$A$2:$A$51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'QC_neg Spiked'!$J$2:$J$51</c:f>
              <c:numCache>
                <c:formatCode>General</c:formatCode>
                <c:ptCount val="50"/>
                <c:pt idx="0">
                  <c:v>550141</c:v>
                </c:pt>
                <c:pt idx="1">
                  <c:v>550952</c:v>
                </c:pt>
                <c:pt idx="2">
                  <c:v>521215</c:v>
                </c:pt>
                <c:pt idx="3">
                  <c:v>524329</c:v>
                </c:pt>
                <c:pt idx="4">
                  <c:v>486144</c:v>
                </c:pt>
                <c:pt idx="5">
                  <c:v>485581</c:v>
                </c:pt>
                <c:pt idx="6">
                  <c:v>427987</c:v>
                </c:pt>
                <c:pt idx="7">
                  <c:v>428183</c:v>
                </c:pt>
                <c:pt idx="8">
                  <c:v>424311</c:v>
                </c:pt>
                <c:pt idx="9">
                  <c:v>399989</c:v>
                </c:pt>
                <c:pt idx="10">
                  <c:v>356389</c:v>
                </c:pt>
                <c:pt idx="11">
                  <c:v>363055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E4-42D1-9130-F83E34CB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450848"/>
        <c:axId val="629451176"/>
      </c:scatterChart>
      <c:valAx>
        <c:axId val="629450848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number</a:t>
                </a:r>
              </a:p>
            </c:rich>
          </c:tx>
          <c:layout>
            <c:manualLayout>
              <c:xMode val="edge"/>
              <c:yMode val="edge"/>
              <c:x val="0.46097795313797341"/>
              <c:y val="0.936288334184750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51176"/>
        <c:crosses val="autoZero"/>
        <c:crossBetween val="midCat"/>
        <c:majorUnit val="4"/>
      </c:valAx>
      <c:valAx>
        <c:axId val="629451176"/>
        <c:scaling>
          <c:logBase val="2"/>
          <c:orientation val="minMax"/>
          <c:max val="10000000"/>
          <c:min val="10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1.441544385376276E-2"/>
              <c:y val="0.419612298735612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50848"/>
        <c:crosses val="autoZero"/>
        <c:crossBetween val="midCat"/>
        <c:majorUnit val="2"/>
        <c:min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Perfluoro-n-nonanoic acid (PFNA)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41383910485252"/>
          <c:y val="0.12301587301587301"/>
          <c:w val="0.82894216718296709"/>
          <c:h val="0.7536591640228862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'QC_neg Spiked'!$A$2:$A$51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'QC_neg Spiked'!$K$2:$K$51</c:f>
              <c:numCache>
                <c:formatCode>General</c:formatCode>
                <c:ptCount val="50"/>
                <c:pt idx="0">
                  <c:v>1306736</c:v>
                </c:pt>
                <c:pt idx="1">
                  <c:v>1301833</c:v>
                </c:pt>
                <c:pt idx="2">
                  <c:v>1227131</c:v>
                </c:pt>
                <c:pt idx="3">
                  <c:v>1210919</c:v>
                </c:pt>
                <c:pt idx="4">
                  <c:v>1183490</c:v>
                </c:pt>
                <c:pt idx="5">
                  <c:v>1163698</c:v>
                </c:pt>
                <c:pt idx="6">
                  <c:v>1077455</c:v>
                </c:pt>
                <c:pt idx="7">
                  <c:v>1070054</c:v>
                </c:pt>
                <c:pt idx="8">
                  <c:v>1022472</c:v>
                </c:pt>
                <c:pt idx="9">
                  <c:v>997661</c:v>
                </c:pt>
                <c:pt idx="10">
                  <c:v>879631</c:v>
                </c:pt>
                <c:pt idx="11">
                  <c:v>878100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DE-441E-948E-E33FA5A89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519216"/>
        <c:axId val="630519544"/>
      </c:scatterChart>
      <c:valAx>
        <c:axId val="630519216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</a:t>
                </a:r>
                <a:r>
                  <a:rPr lang="en-US" baseline="0"/>
                  <a:t> number</a:t>
                </a:r>
              </a:p>
            </c:rich>
          </c:tx>
          <c:layout>
            <c:manualLayout>
              <c:xMode val="edge"/>
              <c:yMode val="edge"/>
              <c:x val="0.43968798816207921"/>
              <c:y val="0.924154049454263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19544"/>
        <c:crosses val="autoZero"/>
        <c:crossBetween val="midCat"/>
        <c:majorUnit val="4"/>
      </c:valAx>
      <c:valAx>
        <c:axId val="630519544"/>
        <c:scaling>
          <c:logBase val="2"/>
          <c:orientation val="minMax"/>
          <c:max val="30000000"/>
          <c:min val="1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  <a:p>
                <a:pPr>
                  <a:defRPr/>
                </a:pPr>
                <a:endParaRPr lang="en-US" sz="1000"/>
              </a:p>
            </c:rich>
          </c:tx>
          <c:layout>
            <c:manualLayout>
              <c:xMode val="edge"/>
              <c:yMode val="edge"/>
              <c:x val="1.6097112860892389E-2"/>
              <c:y val="0.43934851893513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19216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Perfluorohexanesulphonic acid (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PFHxS)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93105890570544"/>
          <c:y val="0.14557985127242826"/>
          <c:w val="0.84538496344469061"/>
          <c:h val="0.7301268465361138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'QC_neg Spiked'!$A$2:$A$51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'QC_neg Spiked'!$O$2:$O$51</c:f>
              <c:numCache>
                <c:formatCode>General</c:formatCode>
                <c:ptCount val="50"/>
                <c:pt idx="0">
                  <c:v>5530089</c:v>
                </c:pt>
                <c:pt idx="1">
                  <c:v>5509712</c:v>
                </c:pt>
                <c:pt idx="2">
                  <c:v>5695840</c:v>
                </c:pt>
                <c:pt idx="3">
                  <c:v>5661279</c:v>
                </c:pt>
                <c:pt idx="4">
                  <c:v>5128695</c:v>
                </c:pt>
                <c:pt idx="5">
                  <c:v>5108666</c:v>
                </c:pt>
                <c:pt idx="6">
                  <c:v>4625276</c:v>
                </c:pt>
                <c:pt idx="7">
                  <c:v>4714619</c:v>
                </c:pt>
                <c:pt idx="8">
                  <c:v>4545138</c:v>
                </c:pt>
                <c:pt idx="9">
                  <c:v>4405990</c:v>
                </c:pt>
                <c:pt idx="10">
                  <c:v>3967726</c:v>
                </c:pt>
                <c:pt idx="11">
                  <c:v>3872737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73-4550-89D5-8B7046AEB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519216"/>
        <c:axId val="630519544"/>
      </c:scatterChart>
      <c:valAx>
        <c:axId val="630519216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</a:t>
                </a:r>
                <a:r>
                  <a:rPr lang="en-US" baseline="0"/>
                  <a:t> number</a:t>
                </a:r>
              </a:p>
            </c:rich>
          </c:tx>
          <c:layout>
            <c:manualLayout>
              <c:xMode val="edge"/>
              <c:yMode val="edge"/>
              <c:x val="0.40700469621990765"/>
              <c:y val="0.942473409460987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19544"/>
        <c:crosses val="autoZero"/>
        <c:crossBetween val="midCat"/>
        <c:majorUnit val="4"/>
      </c:valAx>
      <c:valAx>
        <c:axId val="630519544"/>
        <c:scaling>
          <c:logBase val="2"/>
          <c:orientation val="minMax"/>
          <c:max val="100000000"/>
          <c:min val="10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  <a:p>
                <a:pPr>
                  <a:defRPr/>
                </a:pPr>
                <a:endParaRPr lang="en-US" sz="1000"/>
              </a:p>
            </c:rich>
          </c:tx>
          <c:layout>
            <c:manualLayout>
              <c:xMode val="edge"/>
              <c:yMode val="edge"/>
              <c:x val="1.6097112860892389E-2"/>
              <c:y val="0.43934851893513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19216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Perfluorooctane sulfonic acid (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PFOS)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39538470240952"/>
          <c:y val="0.14557985127242826"/>
          <c:w val="0.8727972977024534"/>
          <c:h val="0.7301268465361138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'QC_neg Spiked'!$A$2:$A$51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'QC_neg Spiked'!$P$2:$P$51</c:f>
              <c:numCache>
                <c:formatCode>General</c:formatCode>
                <c:ptCount val="50"/>
                <c:pt idx="0">
                  <c:v>6384888</c:v>
                </c:pt>
                <c:pt idx="1">
                  <c:v>6402472</c:v>
                </c:pt>
                <c:pt idx="2">
                  <c:v>6468228</c:v>
                </c:pt>
                <c:pt idx="3">
                  <c:v>6352189</c:v>
                </c:pt>
                <c:pt idx="4">
                  <c:v>6173782</c:v>
                </c:pt>
                <c:pt idx="5">
                  <c:v>6112859</c:v>
                </c:pt>
                <c:pt idx="6">
                  <c:v>5445539</c:v>
                </c:pt>
                <c:pt idx="7">
                  <c:v>5584974</c:v>
                </c:pt>
                <c:pt idx="8">
                  <c:v>5456043</c:v>
                </c:pt>
                <c:pt idx="9">
                  <c:v>5353534</c:v>
                </c:pt>
                <c:pt idx="10">
                  <c:v>4688075</c:v>
                </c:pt>
                <c:pt idx="11">
                  <c:v>4635885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39-471C-91B7-56363EBDA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519216"/>
        <c:axId val="630519544"/>
      </c:scatterChart>
      <c:valAx>
        <c:axId val="630519216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</a:t>
                </a:r>
                <a:r>
                  <a:rPr lang="en-US" baseline="0"/>
                  <a:t> number</a:t>
                </a:r>
              </a:p>
            </c:rich>
          </c:tx>
          <c:layout>
            <c:manualLayout>
              <c:xMode val="edge"/>
              <c:yMode val="edge"/>
              <c:x val="0.40700469621990765"/>
              <c:y val="0.942473409460987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19544"/>
        <c:crosses val="autoZero"/>
        <c:crossBetween val="midCat"/>
        <c:majorUnit val="4"/>
      </c:valAx>
      <c:valAx>
        <c:axId val="630519544"/>
        <c:scaling>
          <c:logBase val="2"/>
          <c:orientation val="minMax"/>
          <c:max val="100000000"/>
          <c:min val="1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  <a:p>
                <a:pPr>
                  <a:defRPr/>
                </a:pPr>
                <a:endParaRPr lang="en-US" sz="1000"/>
              </a:p>
            </c:rich>
          </c:tx>
          <c:layout>
            <c:manualLayout>
              <c:xMode val="edge"/>
              <c:yMode val="edge"/>
              <c:x val="6.7186730845888772E-3"/>
              <c:y val="0.412568382829978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19216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(M3PFBA) Perfluoro-n-[2,3,4-13C3]butanoic acid</a:t>
            </a:r>
            <a:endParaRPr lang="en-US" sz="1400" b="1"/>
          </a:p>
        </c:rich>
      </c:tx>
      <c:layout>
        <c:manualLayout>
          <c:xMode val="edge"/>
          <c:yMode val="edge"/>
          <c:x val="0.21373498508126224"/>
          <c:y val="3.9639639639639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45147339912234"/>
          <c:y val="0.15917614657605203"/>
          <c:w val="0.8041141677414102"/>
          <c:h val="0.6965217766656948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'QC_neg Spiked'!$A$2:$A$51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'QC_neg Spiked'!$E$2:$E$51</c:f>
              <c:numCache>
                <c:formatCode>General</c:formatCode>
                <c:ptCount val="50"/>
                <c:pt idx="0">
                  <c:v>1551896</c:v>
                </c:pt>
                <c:pt idx="1">
                  <c:v>1552827</c:v>
                </c:pt>
                <c:pt idx="2">
                  <c:v>1439068</c:v>
                </c:pt>
                <c:pt idx="3">
                  <c:v>1425109</c:v>
                </c:pt>
                <c:pt idx="4">
                  <c:v>890286</c:v>
                </c:pt>
                <c:pt idx="5">
                  <c:v>916781</c:v>
                </c:pt>
                <c:pt idx="6">
                  <c:v>755973</c:v>
                </c:pt>
                <c:pt idx="7">
                  <c:v>764608</c:v>
                </c:pt>
                <c:pt idx="8">
                  <c:v>833672</c:v>
                </c:pt>
                <c:pt idx="9">
                  <c:v>812742</c:v>
                </c:pt>
                <c:pt idx="10">
                  <c:v>749621</c:v>
                </c:pt>
                <c:pt idx="11">
                  <c:v>731430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4E-4B16-9C2D-DD14CF11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503888"/>
        <c:axId val="591501592"/>
      </c:scatterChart>
      <c:valAx>
        <c:axId val="591503888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number</a:t>
                </a:r>
              </a:p>
            </c:rich>
          </c:tx>
          <c:layout>
            <c:manualLayout>
              <c:xMode val="edge"/>
              <c:yMode val="edge"/>
              <c:x val="0.44432931864825309"/>
              <c:y val="0.91513454757549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01592"/>
        <c:crosses val="autoZero"/>
        <c:crossBetween val="midCat"/>
        <c:majorUnit val="4"/>
      </c:valAx>
      <c:valAx>
        <c:axId val="591501592"/>
        <c:scaling>
          <c:logBase val="2"/>
          <c:orientation val="minMax"/>
          <c:max val="100000000"/>
          <c:min val="10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Abundance</a:t>
                </a:r>
              </a:p>
            </c:rich>
          </c:tx>
          <c:layout>
            <c:manualLayout>
              <c:xMode val="edge"/>
              <c:yMode val="edge"/>
              <c:x val="8.4476356462620944E-3"/>
              <c:y val="0.375498172894299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0388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(M6PFDA) Perfluoro-n-[1,2,3,4,5,6-13C6]decanoic acid</a:t>
            </a:r>
            <a:endParaRPr lang="en-US" sz="1400" b="1"/>
          </a:p>
        </c:rich>
      </c:tx>
      <c:layout>
        <c:manualLayout>
          <c:xMode val="edge"/>
          <c:yMode val="edge"/>
          <c:x val="0.21373498508126224"/>
          <c:y val="3.9639639639639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45147339912234"/>
          <c:y val="0.15917614657605203"/>
          <c:w val="0.8041141677414102"/>
          <c:h val="0.6965217766656948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'QC_neg Spiked'!$A$2:$A$51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'QC_neg Spiked'!$F$2:$F$51</c:f>
              <c:numCache>
                <c:formatCode>General</c:formatCode>
                <c:ptCount val="50"/>
                <c:pt idx="0">
                  <c:v>13115403</c:v>
                </c:pt>
                <c:pt idx="1">
                  <c:v>12999898</c:v>
                </c:pt>
                <c:pt idx="2">
                  <c:v>11930816</c:v>
                </c:pt>
                <c:pt idx="3">
                  <c:v>11833684</c:v>
                </c:pt>
                <c:pt idx="4">
                  <c:v>10898187</c:v>
                </c:pt>
                <c:pt idx="5">
                  <c:v>10715212</c:v>
                </c:pt>
                <c:pt idx="6">
                  <c:v>10175176</c:v>
                </c:pt>
                <c:pt idx="7">
                  <c:v>10118081</c:v>
                </c:pt>
                <c:pt idx="8">
                  <c:v>10595836</c:v>
                </c:pt>
                <c:pt idx="9">
                  <c:v>10217176</c:v>
                </c:pt>
                <c:pt idx="10">
                  <c:v>9423237</c:v>
                </c:pt>
                <c:pt idx="11">
                  <c:v>9227687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4E-4B16-9C2D-DD14CF11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503888"/>
        <c:axId val="591501592"/>
      </c:scatterChart>
      <c:valAx>
        <c:axId val="591503888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number</a:t>
                </a:r>
              </a:p>
            </c:rich>
          </c:tx>
          <c:layout>
            <c:manualLayout>
              <c:xMode val="edge"/>
              <c:yMode val="edge"/>
              <c:x val="0.44432931864825309"/>
              <c:y val="0.91513454757549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01592"/>
        <c:crosses val="autoZero"/>
        <c:crossBetween val="midCat"/>
        <c:majorUnit val="4"/>
      </c:valAx>
      <c:valAx>
        <c:axId val="591501592"/>
        <c:scaling>
          <c:logBase val="2"/>
          <c:orientation val="minMax"/>
          <c:max val="100000000"/>
          <c:min val="1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Abundance</a:t>
                </a:r>
              </a:p>
            </c:rich>
          </c:tx>
          <c:layout>
            <c:manualLayout>
              <c:xMode val="edge"/>
              <c:yMode val="edge"/>
              <c:x val="8.4476356462620944E-3"/>
              <c:y val="0.375498172894299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03888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DL-Cotinine D3</a:t>
            </a:r>
          </a:p>
        </c:rich>
      </c:tx>
      <c:layout>
        <c:manualLayout>
          <c:xMode val="edge"/>
          <c:yMode val="edge"/>
          <c:x val="0.45285838957614255"/>
          <c:y val="2.9312947074083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10981021179941"/>
          <c:y val="0.1554321377920356"/>
          <c:w val="0.87000130332956316"/>
          <c:h val="0.717157481608876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'QC_pos Spiked'!$D$1</c:f>
              <c:strCache>
                <c:ptCount val="1"/>
                <c:pt idx="0">
                  <c:v>DL Cotinine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'QC_pos Spiked'!$A$2:$A$61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'QC_pos Spiked'!$D$2:$D$61</c:f>
              <c:numCache>
                <c:formatCode>General</c:formatCode>
                <c:ptCount val="60"/>
                <c:pt idx="0">
                  <c:v>3433209</c:v>
                </c:pt>
                <c:pt idx="1">
                  <c:v>3393839</c:v>
                </c:pt>
                <c:pt idx="2">
                  <c:v>1548536</c:v>
                </c:pt>
                <c:pt idx="3">
                  <c:v>1402361</c:v>
                </c:pt>
                <c:pt idx="4">
                  <c:v>5670592</c:v>
                </c:pt>
                <c:pt idx="5">
                  <c:v>5629068</c:v>
                </c:pt>
                <c:pt idx="6">
                  <c:v>4211079</c:v>
                </c:pt>
                <c:pt idx="7">
                  <c:v>4142966</c:v>
                </c:pt>
                <c:pt idx="8">
                  <c:v>6817685</c:v>
                </c:pt>
                <c:pt idx="9">
                  <c:v>4495386</c:v>
                </c:pt>
                <c:pt idx="10">
                  <c:v>5294946</c:v>
                </c:pt>
                <c:pt idx="11">
                  <c:v>5434913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E6-4C40-9485-121F21F3A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040760"/>
        <c:axId val="473031248"/>
      </c:scatterChart>
      <c:valAx>
        <c:axId val="473040760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2392717514188993"/>
              <c:y val="0.92506908014352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031248"/>
        <c:crosses val="autoZero"/>
        <c:crossBetween val="midCat"/>
        <c:majorUnit val="4"/>
      </c:valAx>
      <c:valAx>
        <c:axId val="473031248"/>
        <c:scaling>
          <c:logBase val="2"/>
          <c:orientation val="minMax"/>
          <c:max val="1000000000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9.8039203072512598E-3"/>
              <c:y val="0.400747326052337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040760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02112321277675"/>
          <c:y val="0.12593720266412942"/>
          <c:w val="0.86307790129782147"/>
          <c:h val="0.762156776073780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'QC_pos Spiked'!$E$1</c:f>
              <c:strCache>
                <c:ptCount val="1"/>
                <c:pt idx="0">
                  <c:v>Tributyl phosphate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'QC_pos Spiked'!$A$2:$A$70</c:f>
              <c:numCache>
                <c:formatCode>General</c:formatCode>
                <c:ptCount val="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'QC_pos Spiked'!$E$2:$E$71</c:f>
              <c:numCache>
                <c:formatCode>General</c:formatCode>
                <c:ptCount val="70"/>
                <c:pt idx="0">
                  <c:v>485830</c:v>
                </c:pt>
                <c:pt idx="1">
                  <c:v>453033</c:v>
                </c:pt>
                <c:pt idx="2">
                  <c:v>254599</c:v>
                </c:pt>
                <c:pt idx="3">
                  <c:v>236798</c:v>
                </c:pt>
                <c:pt idx="4">
                  <c:v>452676</c:v>
                </c:pt>
                <c:pt idx="5">
                  <c:v>434792</c:v>
                </c:pt>
                <c:pt idx="6">
                  <c:v>297277</c:v>
                </c:pt>
                <c:pt idx="7">
                  <c:v>290724</c:v>
                </c:pt>
                <c:pt idx="8">
                  <c:v>483605</c:v>
                </c:pt>
                <c:pt idx="9">
                  <c:v>475467</c:v>
                </c:pt>
                <c:pt idx="10">
                  <c:v>305148</c:v>
                </c:pt>
                <c:pt idx="11">
                  <c:v>309088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92-4F74-BF93-BA356EF7E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682920"/>
        <c:axId val="470679640"/>
      </c:scatterChart>
      <c:valAx>
        <c:axId val="470682920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number</a:t>
                </a:r>
              </a:p>
            </c:rich>
          </c:tx>
          <c:layout>
            <c:manualLayout>
              <c:xMode val="edge"/>
              <c:yMode val="edge"/>
              <c:x val="0.425116376009115"/>
              <c:y val="0.91548985967619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79640"/>
        <c:crosses val="autoZero"/>
        <c:crossBetween val="midCat"/>
        <c:majorUnit val="4"/>
      </c:valAx>
      <c:valAx>
        <c:axId val="470679640"/>
        <c:scaling>
          <c:logBase val="2"/>
          <c:orientation val="minMax"/>
          <c:max val="100000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82920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90921278725051"/>
          <c:y val="0.11992963940193493"/>
          <c:w val="0.86321468809204605"/>
          <c:h val="0.76607455730302843"/>
        </c:manualLayout>
      </c:layout>
      <c:scatterChart>
        <c:scatterStyle val="lineMarker"/>
        <c:varyColors val="0"/>
        <c:ser>
          <c:idx val="0"/>
          <c:order val="0"/>
          <c:tx>
            <c:strRef>
              <c:f>'QC_pos Spiked'!$F$1</c:f>
              <c:strCache>
                <c:ptCount val="1"/>
                <c:pt idx="0">
                  <c:v>Triethyl phosphate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'QC_pos Spiked'!$A$2:$A$61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'QC_pos Spiked'!$F$2:$F$61</c:f>
              <c:numCache>
                <c:formatCode>General</c:formatCode>
                <c:ptCount val="60"/>
                <c:pt idx="0">
                  <c:v>109835</c:v>
                </c:pt>
                <c:pt idx="1">
                  <c:v>97556</c:v>
                </c:pt>
                <c:pt idx="2">
                  <c:v>56527</c:v>
                </c:pt>
                <c:pt idx="3">
                  <c:v>60720</c:v>
                </c:pt>
                <c:pt idx="4">
                  <c:v>18847</c:v>
                </c:pt>
                <c:pt idx="5">
                  <c:v>17122</c:v>
                </c:pt>
                <c:pt idx="6">
                  <c:v>65559</c:v>
                </c:pt>
                <c:pt idx="7">
                  <c:v>63702</c:v>
                </c:pt>
                <c:pt idx="8">
                  <c:v>110105</c:v>
                </c:pt>
                <c:pt idx="9">
                  <c:v>96712</c:v>
                </c:pt>
                <c:pt idx="10">
                  <c:v>75843</c:v>
                </c:pt>
                <c:pt idx="11">
                  <c:v>76086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BB-43C8-A9C7-DFAA47A3A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036496"/>
        <c:axId val="473037152"/>
      </c:scatterChart>
      <c:valAx>
        <c:axId val="473036496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number</a:t>
                </a:r>
              </a:p>
            </c:rich>
          </c:tx>
          <c:layout>
            <c:manualLayout>
              <c:xMode val="edge"/>
              <c:yMode val="edge"/>
              <c:x val="0.43638223279644006"/>
              <c:y val="0.9289180672996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037152"/>
        <c:crosses val="autoZero"/>
        <c:crossBetween val="midCat"/>
        <c:majorUnit val="4"/>
      </c:valAx>
      <c:valAx>
        <c:axId val="473037152"/>
        <c:scaling>
          <c:logBase val="2"/>
          <c:orientation val="minMax"/>
          <c:max val="1000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036496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27411074775746"/>
          <c:y val="0.13542672631032085"/>
          <c:w val="0.86765783047420697"/>
          <c:h val="0.760864271394535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'QC_pos Spiked'!$G$1</c:f>
              <c:strCache>
                <c:ptCount val="1"/>
                <c:pt idx="0">
                  <c:v>Triphenyl phosphate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'QC_pos Spiked'!$A$2:$A$61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'QC_pos Spiked'!$G$2:$G$61</c:f>
              <c:numCache>
                <c:formatCode>General</c:formatCode>
                <c:ptCount val="60"/>
                <c:pt idx="0">
                  <c:v>558885</c:v>
                </c:pt>
                <c:pt idx="1">
                  <c:v>538177</c:v>
                </c:pt>
                <c:pt idx="2">
                  <c:v>269110</c:v>
                </c:pt>
                <c:pt idx="3">
                  <c:v>275288</c:v>
                </c:pt>
                <c:pt idx="4">
                  <c:v>638203</c:v>
                </c:pt>
                <c:pt idx="5">
                  <c:v>624011</c:v>
                </c:pt>
                <c:pt idx="6">
                  <c:v>447638</c:v>
                </c:pt>
                <c:pt idx="7">
                  <c:v>454810</c:v>
                </c:pt>
                <c:pt idx="8">
                  <c:v>424224</c:v>
                </c:pt>
                <c:pt idx="9">
                  <c:v>414655</c:v>
                </c:pt>
                <c:pt idx="10">
                  <c:v>449364</c:v>
                </c:pt>
                <c:pt idx="11">
                  <c:v>434074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92-4B11-8B6F-697C2DABA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822776"/>
        <c:axId val="465820808"/>
      </c:scatterChart>
      <c:valAx>
        <c:axId val="465822776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number</a:t>
                </a:r>
              </a:p>
            </c:rich>
          </c:tx>
          <c:layout>
            <c:manualLayout>
              <c:xMode val="edge"/>
              <c:yMode val="edge"/>
              <c:x val="0.47402488262053094"/>
              <c:y val="0.92622533467616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20808"/>
        <c:crosses val="autoZero"/>
        <c:crossBetween val="midCat"/>
        <c:majorUnit val="4"/>
      </c:valAx>
      <c:valAx>
        <c:axId val="465820808"/>
        <c:scaling>
          <c:logBase val="10"/>
          <c:orientation val="minMax"/>
          <c:max val="100000000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6.6833751044277356E-3"/>
              <c:y val="0.374798480116055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22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0268642890227"/>
          <c:y val="0.11134928229665074"/>
          <c:w val="0.8657894704338428"/>
          <c:h val="0.783757676223486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'QC_pos Spiked'!$H$1</c:f>
              <c:strCache>
                <c:ptCount val="1"/>
                <c:pt idx="0">
                  <c:v>Triphenyl phosphate D15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'QC_pos Spiked'!$A$2:$A$61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'QC_pos Spiked'!$H$2:$H$61</c:f>
              <c:numCache>
                <c:formatCode>General</c:formatCode>
                <c:ptCount val="60"/>
                <c:pt idx="0">
                  <c:v>3836142</c:v>
                </c:pt>
                <c:pt idx="1">
                  <c:v>3644355</c:v>
                </c:pt>
                <c:pt idx="2">
                  <c:v>1916023</c:v>
                </c:pt>
                <c:pt idx="3">
                  <c:v>1891762</c:v>
                </c:pt>
                <c:pt idx="4">
                  <c:v>3787800</c:v>
                </c:pt>
                <c:pt idx="5">
                  <c:v>3693249</c:v>
                </c:pt>
                <c:pt idx="6">
                  <c:v>2663926</c:v>
                </c:pt>
                <c:pt idx="7">
                  <c:v>2650755</c:v>
                </c:pt>
                <c:pt idx="8">
                  <c:v>3888396</c:v>
                </c:pt>
                <c:pt idx="9">
                  <c:v>3767101</c:v>
                </c:pt>
                <c:pt idx="10">
                  <c:v>3063391</c:v>
                </c:pt>
                <c:pt idx="11">
                  <c:v>2982141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37-4B7C-8DEB-95A90C45F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582736"/>
        <c:axId val="480589952"/>
      </c:scatterChart>
      <c:valAx>
        <c:axId val="480582736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number</a:t>
                </a:r>
              </a:p>
            </c:rich>
          </c:tx>
          <c:layout>
            <c:manualLayout>
              <c:xMode val="edge"/>
              <c:yMode val="edge"/>
              <c:x val="0.47679542998301688"/>
              <c:y val="0.92648788757864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589952"/>
        <c:crosses val="autoZero"/>
        <c:crossBetween val="midCat"/>
        <c:majorUnit val="4"/>
      </c:valAx>
      <c:valAx>
        <c:axId val="480589952"/>
        <c:scaling>
          <c:logBase val="2"/>
          <c:orientation val="minMax"/>
          <c:max val="100000000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582736"/>
        <c:crosses val="autoZero"/>
        <c:crossBetween val="midCat"/>
        <c:min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34096723713952"/>
          <c:y val="0.13642296875040727"/>
          <c:w val="0.86311644601207183"/>
          <c:h val="0.77013959342715632"/>
        </c:manualLayout>
      </c:layout>
      <c:scatterChart>
        <c:scatterStyle val="lineMarker"/>
        <c:varyColors val="0"/>
        <c:ser>
          <c:idx val="0"/>
          <c:order val="0"/>
          <c:tx>
            <c:strRef>
              <c:f>'QC_pos Spiked'!$J$1</c:f>
              <c:strCache>
                <c:ptCount val="1"/>
                <c:pt idx="0">
                  <c:v>Tris(1,3-dichloro-2-propyl) phosphate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'QC_pos Spiked'!$A$2:$A$75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'QC_pos Spiked'!$J$2:$J$75</c:f>
              <c:numCache>
                <c:formatCode>General</c:formatCode>
                <c:ptCount val="74"/>
                <c:pt idx="0">
                  <c:v>53506</c:v>
                </c:pt>
                <c:pt idx="1">
                  <c:v>53154</c:v>
                </c:pt>
                <c:pt idx="2">
                  <c:v>27377</c:v>
                </c:pt>
                <c:pt idx="3">
                  <c:v>26412</c:v>
                </c:pt>
                <c:pt idx="4">
                  <c:v>322268</c:v>
                </c:pt>
                <c:pt idx="5">
                  <c:v>298632</c:v>
                </c:pt>
                <c:pt idx="6">
                  <c:v>159415</c:v>
                </c:pt>
                <c:pt idx="7">
                  <c:v>151458</c:v>
                </c:pt>
                <c:pt idx="8">
                  <c:v>156399</c:v>
                </c:pt>
                <c:pt idx="9">
                  <c:v>148752</c:v>
                </c:pt>
                <c:pt idx="10">
                  <c:v>126376</c:v>
                </c:pt>
                <c:pt idx="11">
                  <c:v>127720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30-4291-83E8-043710155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138760"/>
        <c:axId val="465819496"/>
      </c:scatterChart>
      <c:valAx>
        <c:axId val="466138760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8709717081894727"/>
              <c:y val="0.936717105733788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19496"/>
        <c:crosses val="autoZero"/>
        <c:crossBetween val="midCat"/>
        <c:majorUnit val="4"/>
      </c:valAx>
      <c:valAx>
        <c:axId val="465819496"/>
        <c:scaling>
          <c:logBase val="2"/>
          <c:orientation val="minMax"/>
          <c:max val="10000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effectLst/>
                  </a:rPr>
                  <a:t>Abundance</a:t>
                </a:r>
                <a:endParaRPr lang="en-US" sz="11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38760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Tris(2-chloroethyl) phosphate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59371567915714"/>
          <c:y val="0.13652395925751823"/>
          <c:w val="0.86988303766993658"/>
          <c:h val="0.73803693956427907"/>
        </c:manualLayout>
      </c:layout>
      <c:scatterChart>
        <c:scatterStyle val="lineMarker"/>
        <c:varyColors val="0"/>
        <c:ser>
          <c:idx val="0"/>
          <c:order val="0"/>
          <c:tx>
            <c:strRef>
              <c:f>'QC_pos Spiked'!$K$1</c:f>
              <c:strCache>
                <c:ptCount val="1"/>
                <c:pt idx="0">
                  <c:v>Tris(2-chloroethyl) phosphate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'QC_pos Spiked'!$A$2:$A$61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'QC_pos Spiked'!$K$2:$K$61</c:f>
              <c:numCache>
                <c:formatCode>General</c:formatCode>
                <c:ptCount val="60"/>
                <c:pt idx="0">
                  <c:v>289491</c:v>
                </c:pt>
                <c:pt idx="1">
                  <c:v>280978</c:v>
                </c:pt>
                <c:pt idx="2">
                  <c:v>151360</c:v>
                </c:pt>
                <c:pt idx="3">
                  <c:v>146714</c:v>
                </c:pt>
                <c:pt idx="4">
                  <c:v>327242</c:v>
                </c:pt>
                <c:pt idx="5">
                  <c:v>318729</c:v>
                </c:pt>
                <c:pt idx="6">
                  <c:v>249624</c:v>
                </c:pt>
                <c:pt idx="7">
                  <c:v>245142</c:v>
                </c:pt>
                <c:pt idx="8">
                  <c:v>360544</c:v>
                </c:pt>
                <c:pt idx="9">
                  <c:v>360711</c:v>
                </c:pt>
                <c:pt idx="10">
                  <c:v>283370</c:v>
                </c:pt>
                <c:pt idx="11">
                  <c:v>275690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0-4571-9555-B2067CF17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02184"/>
        <c:axId val="540805792"/>
      </c:scatterChart>
      <c:valAx>
        <c:axId val="540802184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number</a:t>
                </a:r>
              </a:p>
            </c:rich>
          </c:tx>
          <c:layout>
            <c:manualLayout>
              <c:xMode val="edge"/>
              <c:yMode val="edge"/>
              <c:x val="0.48298989222091926"/>
              <c:y val="0.916637293086818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05792"/>
        <c:crosses val="autoZero"/>
        <c:crossBetween val="midCat"/>
        <c:majorUnit val="4"/>
      </c:valAx>
      <c:valAx>
        <c:axId val="540805792"/>
        <c:scaling>
          <c:logBase val="2"/>
          <c:orientation val="minMax"/>
          <c:max val="100000000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9.4562647754137114E-3"/>
              <c:y val="0.402282790092662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02184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32183437614906"/>
          <c:y val="0.12702054794520548"/>
          <c:w val="0.86515492201622923"/>
          <c:h val="0.76885853737460896"/>
        </c:manualLayout>
      </c:layout>
      <c:scatterChart>
        <c:scatterStyle val="lineMarker"/>
        <c:varyColors val="0"/>
        <c:ser>
          <c:idx val="0"/>
          <c:order val="0"/>
          <c:tx>
            <c:strRef>
              <c:f>'QC_pos Spiked'!$L$1</c:f>
              <c:strCache>
                <c:ptCount val="1"/>
                <c:pt idx="0">
                  <c:v>Tris(2-chloroisopropyl) phosphate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'QC_pos Spiked'!$A$2:$A$75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'QC_pos Spiked'!$L$2:$L$75</c:f>
              <c:numCache>
                <c:formatCode>General</c:formatCode>
                <c:ptCount val="74"/>
                <c:pt idx="0">
                  <c:v>306518</c:v>
                </c:pt>
                <c:pt idx="1">
                  <c:v>295703</c:v>
                </c:pt>
                <c:pt idx="2">
                  <c:v>152295</c:v>
                </c:pt>
                <c:pt idx="3">
                  <c:v>154817</c:v>
                </c:pt>
                <c:pt idx="4">
                  <c:v>409542</c:v>
                </c:pt>
                <c:pt idx="5">
                  <c:v>406651</c:v>
                </c:pt>
                <c:pt idx="6">
                  <c:v>280024</c:v>
                </c:pt>
                <c:pt idx="7">
                  <c:v>262020</c:v>
                </c:pt>
                <c:pt idx="8">
                  <c:v>369161</c:v>
                </c:pt>
                <c:pt idx="9">
                  <c:v>381387</c:v>
                </c:pt>
                <c:pt idx="10">
                  <c:v>260417</c:v>
                </c:pt>
                <c:pt idx="11">
                  <c:v>272069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3D-47B7-BF7D-328735A5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779224"/>
        <c:axId val="540782832"/>
      </c:scatterChart>
      <c:valAx>
        <c:axId val="540779224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Injection number</a:t>
                </a:r>
              </a:p>
            </c:rich>
          </c:tx>
          <c:layout>
            <c:manualLayout>
              <c:xMode val="edge"/>
              <c:yMode val="edge"/>
              <c:x val="0.48298995638081244"/>
              <c:y val="0.930804659691511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782832"/>
        <c:crosses val="autoZero"/>
        <c:crossBetween val="midCat"/>
        <c:majorUnit val="10"/>
        <c:minorUnit val="10"/>
      </c:valAx>
      <c:valAx>
        <c:axId val="540782832"/>
        <c:scaling>
          <c:logBase val="2"/>
          <c:orientation val="minMax"/>
          <c:max val="100000000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Abundance</a:t>
                </a:r>
                <a:endParaRPr lang="en-US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1.9875776397515529E-2"/>
              <c:y val="0.274484920154211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779224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38099</xdr:colOff>
      <xdr:row>1</xdr:row>
      <xdr:rowOff>8947</xdr:rowOff>
    </xdr:from>
    <xdr:to>
      <xdr:col>28</xdr:col>
      <xdr:colOff>128153</xdr:colOff>
      <xdr:row>22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E53C3-D4FB-4362-8B00-D464CF232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190714</xdr:colOff>
      <xdr:row>22</xdr:row>
      <xdr:rowOff>86085</xdr:rowOff>
    </xdr:from>
    <xdr:to>
      <xdr:col>38</xdr:col>
      <xdr:colOff>612809</xdr:colOff>
      <xdr:row>43</xdr:row>
      <xdr:rowOff>64545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0BBD54-95EA-4348-AF0D-972622DF2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48816</xdr:colOff>
      <xdr:row>43</xdr:row>
      <xdr:rowOff>1983</xdr:rowOff>
    </xdr:from>
    <xdr:to>
      <xdr:col>28</xdr:col>
      <xdr:colOff>125015</xdr:colOff>
      <xdr:row>62</xdr:row>
      <xdr:rowOff>28177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32F76B-6FD7-4558-9584-95408758E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312950</xdr:colOff>
      <xdr:row>63</xdr:row>
      <xdr:rowOff>31712</xdr:rowOff>
    </xdr:from>
    <xdr:to>
      <xdr:col>39</xdr:col>
      <xdr:colOff>163115</xdr:colOff>
      <xdr:row>86</xdr:row>
      <xdr:rowOff>110583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954253-41AD-4B22-B655-2A1624186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19519</xdr:colOff>
      <xdr:row>87</xdr:row>
      <xdr:rowOff>56463</xdr:rowOff>
    </xdr:from>
    <xdr:to>
      <xdr:col>28</xdr:col>
      <xdr:colOff>123825</xdr:colOff>
      <xdr:row>109</xdr:row>
      <xdr:rowOff>109140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83010D-D130-4F7C-80EC-4D67CCF8E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37990</xdr:colOff>
      <xdr:row>63</xdr:row>
      <xdr:rowOff>44920</xdr:rowOff>
    </xdr:from>
    <xdr:to>
      <xdr:col>28</xdr:col>
      <xdr:colOff>114299</xdr:colOff>
      <xdr:row>86</xdr:row>
      <xdr:rowOff>133602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B1D56D9-22A9-4984-9B14-7CA93E4BE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302636</xdr:colOff>
      <xdr:row>43</xdr:row>
      <xdr:rowOff>49212</xdr:rowOff>
    </xdr:from>
    <xdr:to>
      <xdr:col>39</xdr:col>
      <xdr:colOff>142081</xdr:colOff>
      <xdr:row>62</xdr:row>
      <xdr:rowOff>84534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D04A7A-97D2-40DF-A128-DB8C04E4A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239315</xdr:colOff>
      <xdr:row>87</xdr:row>
      <xdr:rowOff>66386</xdr:rowOff>
    </xdr:from>
    <xdr:to>
      <xdr:col>39</xdr:col>
      <xdr:colOff>69056</xdr:colOff>
      <xdr:row>109</xdr:row>
      <xdr:rowOff>110331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CBBF1A4-EEAF-492B-8AE6-CDDE4825D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50260</xdr:colOff>
      <xdr:row>110</xdr:row>
      <xdr:rowOff>126747</xdr:rowOff>
    </xdr:from>
    <xdr:to>
      <xdr:col>28</xdr:col>
      <xdr:colOff>153591</xdr:colOff>
      <xdr:row>133</xdr:row>
      <xdr:rowOff>117474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F4128FD-DC66-4C0E-AEC8-7E5274249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112495</xdr:colOff>
      <xdr:row>1</xdr:row>
      <xdr:rowOff>35935</xdr:rowOff>
    </xdr:from>
    <xdr:to>
      <xdr:col>38</xdr:col>
      <xdr:colOff>499664</xdr:colOff>
      <xdr:row>22</xdr:row>
      <xdr:rowOff>36513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DDAB23-5623-6819-4EFF-F290FF3CC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4581</xdr:colOff>
      <xdr:row>22</xdr:row>
      <xdr:rowOff>93157</xdr:rowOff>
    </xdr:from>
    <xdr:to>
      <xdr:col>28</xdr:col>
      <xdr:colOff>90919</xdr:colOff>
      <xdr:row>43</xdr:row>
      <xdr:rowOff>93734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813AC54-D9B0-EAB8-5DC2-20DCE9394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266699</xdr:colOff>
      <xdr:row>1</xdr:row>
      <xdr:rowOff>11112</xdr:rowOff>
    </xdr:from>
    <xdr:to>
      <xdr:col>25</xdr:col>
      <xdr:colOff>533400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D4810-A034-462B-9BB6-64BD2027C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239710</xdr:colOff>
      <xdr:row>16</xdr:row>
      <xdr:rowOff>133349</xdr:rowOff>
    </xdr:from>
    <xdr:to>
      <xdr:col>25</xdr:col>
      <xdr:colOff>514349</xdr:colOff>
      <xdr:row>33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C9E713-8CB5-4CBF-8459-49737664B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247650</xdr:colOff>
      <xdr:row>33</xdr:row>
      <xdr:rowOff>180975</xdr:rowOff>
    </xdr:from>
    <xdr:to>
      <xdr:col>25</xdr:col>
      <xdr:colOff>533400</xdr:colOff>
      <xdr:row>51</xdr:row>
      <xdr:rowOff>187325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DEFBE1-640B-4C1B-97E2-63A3BFC3B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19051</xdr:colOff>
      <xdr:row>52</xdr:row>
      <xdr:rowOff>49211</xdr:rowOff>
    </xdr:from>
    <xdr:to>
      <xdr:col>25</xdr:col>
      <xdr:colOff>571501</xdr:colOff>
      <xdr:row>69</xdr:row>
      <xdr:rowOff>126999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FE93FB-8E35-49DC-A490-C2A170C39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619126</xdr:colOff>
      <xdr:row>16</xdr:row>
      <xdr:rowOff>139700</xdr:rowOff>
    </xdr:from>
    <xdr:to>
      <xdr:col>38</xdr:col>
      <xdr:colOff>419101</xdr:colOff>
      <xdr:row>33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E35136-1C8A-4DCA-97C1-29625AA2C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38099</xdr:colOff>
      <xdr:row>52</xdr:row>
      <xdr:rowOff>55561</xdr:rowOff>
    </xdr:from>
    <xdr:to>
      <xdr:col>38</xdr:col>
      <xdr:colOff>428624</xdr:colOff>
      <xdr:row>69</xdr:row>
      <xdr:rowOff>104774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F9228D-9EC0-4274-8711-0A616C05A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38100</xdr:colOff>
      <xdr:row>1</xdr:row>
      <xdr:rowOff>30162</xdr:rowOff>
    </xdr:from>
    <xdr:to>
      <xdr:col>38</xdr:col>
      <xdr:colOff>438150</xdr:colOff>
      <xdr:row>16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9696BA-5833-44F3-8191-DB911235B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19049</xdr:colOff>
      <xdr:row>33</xdr:row>
      <xdr:rowOff>85725</xdr:rowOff>
    </xdr:from>
    <xdr:to>
      <xdr:col>38</xdr:col>
      <xdr:colOff>419100</xdr:colOff>
      <xdr:row>51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8A98B6-355B-4845-80FD-0CC283E46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6B36-EE1F-43E2-8EE5-E35DE7549C17}">
  <dimension ref="A1:R134"/>
  <sheetViews>
    <sheetView zoomScale="86" zoomScaleNormal="86" workbookViewId="0">
      <pane ySplit="1" topLeftCell="A2" activePane="bottomLeft" state="frozen"/>
      <selection pane="bottomLeft" activeCell="K33" sqref="K33"/>
    </sheetView>
  </sheetViews>
  <sheetFormatPr defaultColWidth="9.140625" defaultRowHeight="12.75" x14ac:dyDescent="0.2"/>
  <cols>
    <col min="1" max="1" width="10.42578125" style="6" customWidth="1"/>
    <col min="2" max="2" width="15.140625" style="6" customWidth="1"/>
    <col min="3" max="3" width="18.7109375" style="1" customWidth="1"/>
    <col min="4" max="17" width="10.7109375" style="4" customWidth="1"/>
    <col min="18" max="18" width="9.7109375" style="4" customWidth="1"/>
    <col min="19" max="19" width="3.5703125" style="1" customWidth="1"/>
    <col min="20" max="27" width="9.140625" style="1"/>
    <col min="28" max="28" width="17.5703125" style="1" customWidth="1"/>
    <col min="29" max="37" width="9.140625" style="1"/>
    <col min="38" max="38" width="11.5703125" style="1" customWidth="1"/>
    <col min="39" max="16384" width="9.140625" style="1"/>
  </cols>
  <sheetData>
    <row r="1" spans="1:18" s="15" customFormat="1" ht="15" x14ac:dyDescent="0.2">
      <c r="A1" s="15" t="s">
        <v>0</v>
      </c>
      <c r="B1" s="15" t="s">
        <v>21</v>
      </c>
      <c r="C1" s="15" t="s">
        <v>1</v>
      </c>
      <c r="D1" s="9" t="s">
        <v>2</v>
      </c>
      <c r="E1" s="9" t="s">
        <v>26</v>
      </c>
      <c r="F1" s="9" t="s">
        <v>27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1" t="s">
        <v>36</v>
      </c>
      <c r="O1" s="11" t="s">
        <v>18</v>
      </c>
      <c r="P1" s="11" t="s">
        <v>19</v>
      </c>
      <c r="Q1" s="11"/>
      <c r="R1" s="16"/>
    </row>
    <row r="2" spans="1:18" x14ac:dyDescent="0.2">
      <c r="A2" s="6">
        <v>1</v>
      </c>
      <c r="B2" s="6" t="s">
        <v>22</v>
      </c>
      <c r="C2" t="s">
        <v>32</v>
      </c>
      <c r="D2">
        <v>9097075</v>
      </c>
      <c r="E2">
        <v>1551896</v>
      </c>
      <c r="F2">
        <v>13115403</v>
      </c>
      <c r="G2">
        <v>123775</v>
      </c>
      <c r="H2">
        <v>1340234</v>
      </c>
      <c r="I2">
        <v>858695</v>
      </c>
      <c r="J2">
        <v>550141</v>
      </c>
      <c r="K2">
        <v>1306736</v>
      </c>
      <c r="L2">
        <v>1027146</v>
      </c>
      <c r="M2">
        <v>268784</v>
      </c>
      <c r="N2">
        <v>5201936</v>
      </c>
      <c r="O2">
        <v>5530089</v>
      </c>
      <c r="P2">
        <v>6384888</v>
      </c>
      <c r="Q2" s="6"/>
    </row>
    <row r="3" spans="1:18" x14ac:dyDescent="0.2">
      <c r="A3" s="6">
        <v>2</v>
      </c>
      <c r="B3" s="6" t="s">
        <v>23</v>
      </c>
      <c r="C3" t="s">
        <v>33</v>
      </c>
      <c r="D3">
        <v>9075378</v>
      </c>
      <c r="E3">
        <v>1552827</v>
      </c>
      <c r="F3">
        <v>12999898</v>
      </c>
      <c r="G3">
        <v>124564</v>
      </c>
      <c r="H3">
        <v>1332147</v>
      </c>
      <c r="I3">
        <v>855028</v>
      </c>
      <c r="J3">
        <v>550952</v>
      </c>
      <c r="K3">
        <v>1301833</v>
      </c>
      <c r="L3">
        <v>1026609</v>
      </c>
      <c r="M3">
        <v>270536</v>
      </c>
      <c r="N3">
        <v>5090699</v>
      </c>
      <c r="O3">
        <v>5509712</v>
      </c>
      <c r="P3">
        <v>6402472</v>
      </c>
      <c r="Q3" s="6"/>
    </row>
    <row r="4" spans="1:18" x14ac:dyDescent="0.2">
      <c r="A4" s="6">
        <v>3</v>
      </c>
      <c r="B4" s="6" t="s">
        <v>24</v>
      </c>
      <c r="C4" t="s">
        <v>34</v>
      </c>
      <c r="D4">
        <v>8665224</v>
      </c>
      <c r="E4">
        <v>1439068</v>
      </c>
      <c r="F4">
        <v>11930816</v>
      </c>
      <c r="G4">
        <v>117105</v>
      </c>
      <c r="H4">
        <v>1292889</v>
      </c>
      <c r="I4">
        <v>820596</v>
      </c>
      <c r="J4">
        <v>521215</v>
      </c>
      <c r="K4">
        <v>1227131</v>
      </c>
      <c r="L4">
        <v>982825</v>
      </c>
      <c r="M4">
        <v>271846</v>
      </c>
      <c r="N4">
        <v>5000251</v>
      </c>
      <c r="O4">
        <v>5695840</v>
      </c>
      <c r="P4">
        <v>6468228</v>
      </c>
      <c r="Q4" s="6"/>
    </row>
    <row r="5" spans="1:18" x14ac:dyDescent="0.2">
      <c r="A5" s="6">
        <v>4</v>
      </c>
      <c r="B5" s="13" t="s">
        <v>25</v>
      </c>
      <c r="C5" t="s">
        <v>35</v>
      </c>
      <c r="D5">
        <v>8548725</v>
      </c>
      <c r="E5">
        <v>1425109</v>
      </c>
      <c r="F5">
        <v>11833684</v>
      </c>
      <c r="G5">
        <v>112173</v>
      </c>
      <c r="H5">
        <v>1279481</v>
      </c>
      <c r="I5">
        <v>827590</v>
      </c>
      <c r="J5">
        <v>524329</v>
      </c>
      <c r="K5">
        <v>1210919</v>
      </c>
      <c r="L5">
        <v>979426</v>
      </c>
      <c r="M5">
        <v>274274</v>
      </c>
      <c r="N5">
        <v>5062321</v>
      </c>
      <c r="O5">
        <v>5661279</v>
      </c>
      <c r="P5">
        <v>6352189</v>
      </c>
      <c r="Q5" s="13"/>
      <c r="R5" s="19"/>
    </row>
    <row r="6" spans="1:18" x14ac:dyDescent="0.2">
      <c r="A6" s="6">
        <v>5</v>
      </c>
      <c r="B6" s="6" t="s">
        <v>22</v>
      </c>
      <c r="C6" t="s">
        <v>37</v>
      </c>
      <c r="D6">
        <v>6670240</v>
      </c>
      <c r="E6">
        <v>890286</v>
      </c>
      <c r="F6">
        <v>10898187</v>
      </c>
      <c r="G6">
        <v>86154</v>
      </c>
      <c r="H6">
        <v>1274868</v>
      </c>
      <c r="I6">
        <v>769724</v>
      </c>
      <c r="J6">
        <v>486144</v>
      </c>
      <c r="K6">
        <v>1183490</v>
      </c>
      <c r="L6">
        <v>871127</v>
      </c>
      <c r="M6">
        <v>252204</v>
      </c>
      <c r="N6">
        <v>4236528</v>
      </c>
      <c r="O6">
        <v>5128695</v>
      </c>
      <c r="P6">
        <v>6173782</v>
      </c>
      <c r="Q6" s="6"/>
    </row>
    <row r="7" spans="1:18" s="4" customFormat="1" x14ac:dyDescent="0.2">
      <c r="A7" s="6">
        <v>6</v>
      </c>
      <c r="B7" s="6" t="s">
        <v>23</v>
      </c>
      <c r="C7" t="s">
        <v>38</v>
      </c>
      <c r="D7">
        <v>6576684</v>
      </c>
      <c r="E7">
        <v>916781</v>
      </c>
      <c r="F7">
        <v>10715212</v>
      </c>
      <c r="G7">
        <v>85648</v>
      </c>
      <c r="H7">
        <v>1243989</v>
      </c>
      <c r="I7">
        <v>764056</v>
      </c>
      <c r="J7">
        <v>485581</v>
      </c>
      <c r="K7">
        <v>1163698</v>
      </c>
      <c r="L7">
        <v>852875</v>
      </c>
      <c r="M7">
        <v>258021</v>
      </c>
      <c r="N7">
        <v>4157815</v>
      </c>
      <c r="O7">
        <v>5108666</v>
      </c>
      <c r="P7">
        <v>6112859</v>
      </c>
      <c r="Q7" s="6"/>
    </row>
    <row r="8" spans="1:18" s="4" customFormat="1" x14ac:dyDescent="0.2">
      <c r="A8" s="6">
        <v>7</v>
      </c>
      <c r="B8" s="6" t="s">
        <v>24</v>
      </c>
      <c r="C8" t="s">
        <v>39</v>
      </c>
      <c r="D8">
        <v>6247379</v>
      </c>
      <c r="E8">
        <v>755973</v>
      </c>
      <c r="F8">
        <v>10175176</v>
      </c>
      <c r="G8">
        <v>70343</v>
      </c>
      <c r="H8">
        <v>1136263</v>
      </c>
      <c r="I8">
        <v>697114</v>
      </c>
      <c r="J8">
        <v>427987</v>
      </c>
      <c r="K8">
        <v>1077455</v>
      </c>
      <c r="L8">
        <v>771691</v>
      </c>
      <c r="M8">
        <v>215292</v>
      </c>
      <c r="N8">
        <v>3823965</v>
      </c>
      <c r="O8">
        <v>4625276</v>
      </c>
      <c r="P8">
        <v>5445539</v>
      </c>
      <c r="Q8" s="6"/>
    </row>
    <row r="9" spans="1:18" s="4" customFormat="1" x14ac:dyDescent="0.2">
      <c r="A9" s="6">
        <v>8</v>
      </c>
      <c r="B9" s="13" t="s">
        <v>25</v>
      </c>
      <c r="C9" t="s">
        <v>40</v>
      </c>
      <c r="D9">
        <v>6228269</v>
      </c>
      <c r="E9">
        <v>764608</v>
      </c>
      <c r="F9">
        <v>10118081</v>
      </c>
      <c r="G9">
        <v>114153</v>
      </c>
      <c r="H9">
        <v>1116985</v>
      </c>
      <c r="I9">
        <v>693825</v>
      </c>
      <c r="J9">
        <v>428183</v>
      </c>
      <c r="K9">
        <v>1070054</v>
      </c>
      <c r="L9">
        <v>751865</v>
      </c>
      <c r="M9">
        <v>215036</v>
      </c>
      <c r="N9">
        <v>3823448</v>
      </c>
      <c r="O9">
        <v>4714619</v>
      </c>
      <c r="P9">
        <v>5584974</v>
      </c>
      <c r="Q9" s="6"/>
    </row>
    <row r="10" spans="1:18" s="4" customFormat="1" x14ac:dyDescent="0.2">
      <c r="A10" s="6">
        <v>9</v>
      </c>
      <c r="B10" s="6" t="s">
        <v>22</v>
      </c>
      <c r="C10" t="s">
        <v>49</v>
      </c>
      <c r="D10">
        <v>6208712</v>
      </c>
      <c r="E10">
        <v>833672</v>
      </c>
      <c r="F10">
        <v>10595836</v>
      </c>
      <c r="G10">
        <v>114609</v>
      </c>
      <c r="H10">
        <v>1134810</v>
      </c>
      <c r="I10">
        <v>668247</v>
      </c>
      <c r="J10">
        <v>424311</v>
      </c>
      <c r="K10">
        <v>1022472</v>
      </c>
      <c r="L10">
        <v>740355</v>
      </c>
      <c r="M10">
        <v>219143</v>
      </c>
      <c r="N10">
        <v>3882944</v>
      </c>
      <c r="O10">
        <v>4545138</v>
      </c>
      <c r="P10">
        <v>5456043</v>
      </c>
      <c r="Q10" s="6"/>
    </row>
    <row r="11" spans="1:18" s="4" customFormat="1" x14ac:dyDescent="0.2">
      <c r="A11" s="6">
        <v>10</v>
      </c>
      <c r="B11" s="6" t="s">
        <v>23</v>
      </c>
      <c r="C11" t="s">
        <v>50</v>
      </c>
      <c r="D11">
        <v>6010074</v>
      </c>
      <c r="E11">
        <v>812742</v>
      </c>
      <c r="F11">
        <v>10217176</v>
      </c>
      <c r="G11">
        <v>109322</v>
      </c>
      <c r="H11">
        <v>1091182</v>
      </c>
      <c r="I11">
        <v>642566</v>
      </c>
      <c r="J11">
        <v>399989</v>
      </c>
      <c r="K11">
        <v>997661</v>
      </c>
      <c r="L11">
        <v>719139</v>
      </c>
      <c r="M11">
        <v>212153</v>
      </c>
      <c r="N11">
        <v>3762102</v>
      </c>
      <c r="O11">
        <v>4405990</v>
      </c>
      <c r="P11">
        <v>5353534</v>
      </c>
      <c r="Q11" s="6"/>
    </row>
    <row r="12" spans="1:18" s="4" customFormat="1" x14ac:dyDescent="0.2">
      <c r="A12" s="6">
        <v>11</v>
      </c>
      <c r="B12" s="6" t="s">
        <v>24</v>
      </c>
      <c r="C12" t="s">
        <v>51</v>
      </c>
      <c r="D12">
        <v>5349024</v>
      </c>
      <c r="E12">
        <v>749621</v>
      </c>
      <c r="F12">
        <v>9423237</v>
      </c>
      <c r="G12">
        <v>103154</v>
      </c>
      <c r="H12">
        <v>976308</v>
      </c>
      <c r="I12">
        <v>571099</v>
      </c>
      <c r="J12">
        <v>356389</v>
      </c>
      <c r="K12">
        <v>879631</v>
      </c>
      <c r="L12">
        <v>639549</v>
      </c>
      <c r="M12">
        <v>185817</v>
      </c>
      <c r="N12">
        <v>3435813</v>
      </c>
      <c r="O12">
        <v>3967726</v>
      </c>
      <c r="P12">
        <v>4688075</v>
      </c>
      <c r="Q12" s="6"/>
    </row>
    <row r="13" spans="1:18" s="4" customFormat="1" x14ac:dyDescent="0.2">
      <c r="A13" s="6">
        <v>12</v>
      </c>
      <c r="B13" s="6" t="s">
        <v>25</v>
      </c>
      <c r="C13" t="s">
        <v>52</v>
      </c>
      <c r="D13">
        <v>5305698</v>
      </c>
      <c r="E13">
        <v>731430</v>
      </c>
      <c r="F13">
        <v>9227687</v>
      </c>
      <c r="G13">
        <v>104839</v>
      </c>
      <c r="H13">
        <v>958195</v>
      </c>
      <c r="I13">
        <v>579319</v>
      </c>
      <c r="J13">
        <v>363055</v>
      </c>
      <c r="K13">
        <v>878100</v>
      </c>
      <c r="L13">
        <v>624865</v>
      </c>
      <c r="M13">
        <v>179813</v>
      </c>
      <c r="N13">
        <v>3333672</v>
      </c>
      <c r="O13">
        <v>3872737</v>
      </c>
      <c r="P13">
        <v>4635885</v>
      </c>
      <c r="Q13" s="6"/>
    </row>
    <row r="14" spans="1:18" s="4" customFormat="1" x14ac:dyDescent="0.2">
      <c r="A14" s="6"/>
      <c r="B14" s="6"/>
      <c r="C14" s="1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/>
    </row>
    <row r="15" spans="1:18" s="4" customFormat="1" x14ac:dyDescent="0.2">
      <c r="A15" s="6"/>
      <c r="B15" s="6"/>
      <c r="C15" s="1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/>
    </row>
    <row r="16" spans="1:18" s="4" customFormat="1" x14ac:dyDescent="0.2">
      <c r="A16" s="6"/>
      <c r="B16" s="6"/>
      <c r="C16" s="1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/>
    </row>
    <row r="17" spans="1:17" s="4" customFormat="1" x14ac:dyDescent="0.2">
      <c r="A17" s="6"/>
      <c r="B17" s="6"/>
      <c r="C17" s="1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/>
    </row>
    <row r="18" spans="1:17" s="4" customFormat="1" x14ac:dyDescent="0.2">
      <c r="A18" s="6"/>
      <c r="B18" s="6"/>
      <c r="C18" s="1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s="4" customFormat="1" x14ac:dyDescent="0.2">
      <c r="A19" s="6"/>
      <c r="B19" s="6"/>
      <c r="C19" s="1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/>
    </row>
    <row r="20" spans="1:17" s="4" customFormat="1" x14ac:dyDescent="0.2">
      <c r="A20" s="6"/>
      <c r="B20" s="6"/>
      <c r="C20" s="1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/>
    </row>
    <row r="21" spans="1:17" s="4" customFormat="1" x14ac:dyDescent="0.2">
      <c r="A21" s="6"/>
      <c r="B21" s="6"/>
      <c r="C21" s="1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/>
    </row>
    <row r="22" spans="1:17" s="4" customFormat="1" x14ac:dyDescent="0.2">
      <c r="A22" s="6"/>
      <c r="B22" s="6"/>
      <c r="C22" s="1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/>
    </row>
    <row r="23" spans="1:17" s="4" customFormat="1" x14ac:dyDescent="0.2">
      <c r="A23" s="6"/>
      <c r="B23" s="6"/>
      <c r="C23" s="1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/>
    </row>
    <row r="24" spans="1:17" s="4" customFormat="1" x14ac:dyDescent="0.2">
      <c r="A24" s="6"/>
      <c r="B24" s="6"/>
      <c r="C24" s="1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/>
    </row>
    <row r="25" spans="1:17" s="4" customFormat="1" x14ac:dyDescent="0.2">
      <c r="A25" s="6"/>
      <c r="B25" s="6"/>
      <c r="C25" s="1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/>
    </row>
    <row r="26" spans="1:17" s="4" customFormat="1" x14ac:dyDescent="0.2">
      <c r="A26" s="6"/>
      <c r="B26" s="6"/>
      <c r="C26" s="1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2"/>
    </row>
    <row r="27" spans="1:17" s="4" customFormat="1" x14ac:dyDescent="0.2">
      <c r="A27" s="6"/>
      <c r="B27" s="6"/>
      <c r="C27" s="1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2"/>
    </row>
    <row r="28" spans="1:17" s="4" customFormat="1" x14ac:dyDescent="0.2">
      <c r="A28" s="6"/>
      <c r="B28" s="6"/>
      <c r="C28" s="1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2"/>
    </row>
    <row r="29" spans="1:17" s="4" customFormat="1" x14ac:dyDescent="0.2">
      <c r="A29" s="6"/>
      <c r="B29" s="6"/>
      <c r="C29" s="1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2"/>
    </row>
    <row r="30" spans="1:17" x14ac:dyDescent="0.2"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2"/>
    </row>
    <row r="31" spans="1:17" x14ac:dyDescent="0.2"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2"/>
    </row>
    <row r="32" spans="1:17" x14ac:dyDescent="0.2"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2"/>
    </row>
    <row r="33" spans="1:17" x14ac:dyDescent="0.2"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2"/>
    </row>
    <row r="34" spans="1:17" x14ac:dyDescent="0.2"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2"/>
    </row>
    <row r="35" spans="1:17" x14ac:dyDescent="0.2"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2"/>
    </row>
    <row r="36" spans="1:17" x14ac:dyDescent="0.2"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2"/>
    </row>
    <row r="37" spans="1:17" x14ac:dyDescent="0.2"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2"/>
    </row>
    <row r="38" spans="1:17" x14ac:dyDescent="0.2"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2"/>
    </row>
    <row r="39" spans="1:17" x14ac:dyDescent="0.2"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2"/>
    </row>
    <row r="40" spans="1:17" x14ac:dyDescent="0.2"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2"/>
    </row>
    <row r="41" spans="1:17" x14ac:dyDescent="0.2"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2"/>
    </row>
    <row r="42" spans="1:17" x14ac:dyDescent="0.2">
      <c r="B42" s="1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 x14ac:dyDescent="0.2">
      <c r="B43" s="1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1:17" x14ac:dyDescent="0.2">
      <c r="B44" s="1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1:17" x14ac:dyDescent="0.2">
      <c r="B45" s="1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17" ht="15.75" x14ac:dyDescent="0.25">
      <c r="A46" s="7"/>
      <c r="B46" s="7"/>
      <c r="C46" s="7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1:17" ht="15.75" x14ac:dyDescent="0.25">
      <c r="A47" s="7"/>
      <c r="B47" s="7"/>
      <c r="C47" s="7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7" ht="15.75" x14ac:dyDescent="0.25">
      <c r="A48" s="7"/>
      <c r="B48" s="7"/>
      <c r="C48" s="7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ht="15.75" x14ac:dyDescent="0.25">
      <c r="A49" s="7"/>
      <c r="B49" s="7"/>
      <c r="C49" s="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7" ht="15.75" x14ac:dyDescent="0.25">
      <c r="A50" s="7"/>
      <c r="B50" s="7"/>
      <c r="C50" s="7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1:17" ht="15.75" x14ac:dyDescent="0.25">
      <c r="A51" s="7"/>
      <c r="B51" s="7"/>
      <c r="C51" s="7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1:17" x14ac:dyDescent="0.2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spans="1:17" x14ac:dyDescent="0.2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1:17" x14ac:dyDescent="0.2"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</row>
    <row r="55" spans="1:17" x14ac:dyDescent="0.2"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</row>
    <row r="56" spans="1:17" x14ac:dyDescent="0.2"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spans="1:17" x14ac:dyDescent="0.2"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spans="1:17" x14ac:dyDescent="0.2"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spans="1:17" x14ac:dyDescent="0.2"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 spans="1:17" x14ac:dyDescent="0.2"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 spans="1:17" x14ac:dyDescent="0.2"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 spans="1:17" x14ac:dyDescent="0.2"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 spans="1:17" x14ac:dyDescent="0.2"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spans="1:17" x14ac:dyDescent="0.2"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 spans="4:17" x14ac:dyDescent="0.2"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 spans="4:17" x14ac:dyDescent="0.2"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spans="4:17" x14ac:dyDescent="0.2"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 spans="4:17" x14ac:dyDescent="0.2"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 spans="4:17" x14ac:dyDescent="0.2"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spans="4:17" x14ac:dyDescent="0.2"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 spans="4:17" x14ac:dyDescent="0.2"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 spans="4:17" x14ac:dyDescent="0.2"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 spans="4:17" x14ac:dyDescent="0.2"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 spans="4:17" x14ac:dyDescent="0.2"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 spans="4:17" x14ac:dyDescent="0.2"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 spans="4:17" x14ac:dyDescent="0.2"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spans="4:17" x14ac:dyDescent="0.2"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 spans="4:17" x14ac:dyDescent="0.2"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spans="4:17" x14ac:dyDescent="0.2"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 spans="4:17" x14ac:dyDescent="0.2"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spans="4:17" x14ac:dyDescent="0.2"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</row>
    <row r="83" spans="4:17" x14ac:dyDescent="0.2"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 spans="4:17" x14ac:dyDescent="0.2"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spans="4:17" x14ac:dyDescent="0.2"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spans="4:17" x14ac:dyDescent="0.2"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spans="4:17" x14ac:dyDescent="0.2"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4:17" x14ac:dyDescent="0.2"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spans="4:17" x14ac:dyDescent="0.2"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 spans="4:17" x14ac:dyDescent="0.2"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 spans="4:17" x14ac:dyDescent="0.2"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 spans="4:17" x14ac:dyDescent="0.2"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 spans="4:17" x14ac:dyDescent="0.2"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 spans="4:17" x14ac:dyDescent="0.2"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 spans="4:17" x14ac:dyDescent="0.2"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 spans="4:17" x14ac:dyDescent="0.2"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 spans="4:17" x14ac:dyDescent="0.2"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 spans="4:17" x14ac:dyDescent="0.2"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 spans="4:17" x14ac:dyDescent="0.2"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 spans="4:17" x14ac:dyDescent="0.2"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4:17" x14ac:dyDescent="0.2"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 spans="4:17" x14ac:dyDescent="0.2"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 spans="4:17" x14ac:dyDescent="0.2"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 spans="4:17" x14ac:dyDescent="0.2"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 spans="4:17" x14ac:dyDescent="0.2"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 spans="4:17" x14ac:dyDescent="0.2"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 spans="4:17" x14ac:dyDescent="0.2"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8" spans="4:17" x14ac:dyDescent="0.2"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</row>
    <row r="109" spans="4:17" x14ac:dyDescent="0.2"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 spans="4:17" x14ac:dyDescent="0.2"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</row>
    <row r="111" spans="4:17" x14ac:dyDescent="0.2"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</row>
    <row r="112" spans="4:17" x14ac:dyDescent="0.2"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</row>
    <row r="113" spans="4:17" x14ac:dyDescent="0.2"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</row>
    <row r="114" spans="4:17" x14ac:dyDescent="0.2"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</row>
    <row r="115" spans="4:17" x14ac:dyDescent="0.2"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</row>
    <row r="116" spans="4:17" x14ac:dyDescent="0.2"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</row>
    <row r="117" spans="4:17" x14ac:dyDescent="0.2"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</row>
    <row r="118" spans="4:17" x14ac:dyDescent="0.2"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</row>
    <row r="119" spans="4:17" x14ac:dyDescent="0.2"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</row>
    <row r="120" spans="4:17" x14ac:dyDescent="0.2"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</row>
    <row r="121" spans="4:17" x14ac:dyDescent="0.2"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</row>
    <row r="122" spans="4:17" x14ac:dyDescent="0.2"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</row>
    <row r="123" spans="4:17" x14ac:dyDescent="0.2"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</row>
    <row r="124" spans="4:17" x14ac:dyDescent="0.2"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</row>
    <row r="125" spans="4:17" x14ac:dyDescent="0.2"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</row>
    <row r="126" spans="4:17" x14ac:dyDescent="0.2"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</row>
    <row r="127" spans="4:17" x14ac:dyDescent="0.2"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</row>
    <row r="128" spans="4:17" x14ac:dyDescent="0.2"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</row>
    <row r="129" spans="4:17" x14ac:dyDescent="0.2"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 spans="4:17" x14ac:dyDescent="0.2"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</row>
    <row r="131" spans="4:17" x14ac:dyDescent="0.2"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</row>
    <row r="132" spans="4:17" x14ac:dyDescent="0.2"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</row>
    <row r="133" spans="4:17" x14ac:dyDescent="0.2"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</row>
    <row r="134" spans="4:17" x14ac:dyDescent="0.2"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C693-0DD2-43D0-A4C1-B1EBE3A220BF}">
  <dimension ref="A1:M72"/>
  <sheetViews>
    <sheetView tabSelected="1" zoomScale="80" zoomScaleNormal="80" workbookViewId="0">
      <pane ySplit="1" topLeftCell="A2" activePane="bottomLeft" state="frozen"/>
      <selection pane="bottomLeft" activeCell="D19" sqref="D19"/>
    </sheetView>
  </sheetViews>
  <sheetFormatPr defaultColWidth="9.140625" defaultRowHeight="15.75" x14ac:dyDescent="0.25"/>
  <cols>
    <col min="1" max="1" width="12.85546875" style="7" customWidth="1"/>
    <col min="2" max="2" width="18.28515625" style="7" customWidth="1"/>
    <col min="3" max="3" width="20.140625" style="7" customWidth="1"/>
    <col min="4" max="4" width="12.42578125" style="7" customWidth="1"/>
    <col min="5" max="5" width="13" style="7" customWidth="1"/>
    <col min="6" max="6" width="15.42578125" style="7" customWidth="1"/>
    <col min="7" max="7" width="19.28515625" style="7" customWidth="1"/>
    <col min="8" max="8" width="18.140625" style="7" customWidth="1"/>
    <col min="9" max="9" width="14.5703125" style="4" customWidth="1"/>
    <col min="10" max="10" width="20.7109375" style="7" customWidth="1"/>
    <col min="11" max="11" width="22" style="7" customWidth="1"/>
    <col min="12" max="12" width="20.140625" style="7" customWidth="1"/>
    <col min="13" max="13" width="12.5703125" style="7" customWidth="1"/>
    <col min="14" max="14" width="7.85546875" style="2" customWidth="1"/>
    <col min="15" max="16384" width="9.140625" style="2"/>
  </cols>
  <sheetData>
    <row r="1" spans="1:13" s="18" customFormat="1" ht="54" customHeight="1" x14ac:dyDescent="0.25">
      <c r="A1" s="17" t="s">
        <v>0</v>
      </c>
      <c r="B1" s="17" t="s">
        <v>21</v>
      </c>
      <c r="C1" s="17" t="s">
        <v>1</v>
      </c>
      <c r="D1" s="17" t="s">
        <v>17</v>
      </c>
      <c r="E1" s="17" t="s">
        <v>16</v>
      </c>
      <c r="F1" s="17" t="s">
        <v>15</v>
      </c>
      <c r="G1" s="17" t="s">
        <v>14</v>
      </c>
      <c r="H1" s="17" t="s">
        <v>13</v>
      </c>
      <c r="I1" s="17" t="s">
        <v>20</v>
      </c>
      <c r="J1" s="17" t="s">
        <v>10</v>
      </c>
      <c r="K1" s="17" t="s">
        <v>12</v>
      </c>
      <c r="L1" s="17" t="s">
        <v>11</v>
      </c>
      <c r="M1" s="17"/>
    </row>
    <row r="2" spans="1:13" x14ac:dyDescent="0.25">
      <c r="A2" s="7">
        <v>1</v>
      </c>
      <c r="B2" s="6" t="s">
        <v>28</v>
      </c>
      <c r="C2" t="s">
        <v>41</v>
      </c>
      <c r="D2">
        <v>3433209</v>
      </c>
      <c r="E2">
        <v>485830</v>
      </c>
      <c r="F2">
        <v>109835</v>
      </c>
      <c r="G2">
        <v>558885</v>
      </c>
      <c r="H2">
        <v>3836142</v>
      </c>
      <c r="I2">
        <v>99421</v>
      </c>
      <c r="J2">
        <v>53506</v>
      </c>
      <c r="K2">
        <v>289491</v>
      </c>
      <c r="L2">
        <v>306518</v>
      </c>
      <c r="M2" s="6"/>
    </row>
    <row r="3" spans="1:13" x14ac:dyDescent="0.25">
      <c r="A3" s="7">
        <v>2</v>
      </c>
      <c r="B3" s="6" t="s">
        <v>29</v>
      </c>
      <c r="C3" t="s">
        <v>42</v>
      </c>
      <c r="D3">
        <v>3393839</v>
      </c>
      <c r="E3">
        <v>453033</v>
      </c>
      <c r="F3">
        <v>97556</v>
      </c>
      <c r="G3">
        <v>538177</v>
      </c>
      <c r="H3">
        <v>3644355</v>
      </c>
      <c r="I3">
        <v>99408</v>
      </c>
      <c r="J3">
        <v>53154</v>
      </c>
      <c r="K3">
        <v>280978</v>
      </c>
      <c r="L3">
        <v>295703</v>
      </c>
      <c r="M3" s="6"/>
    </row>
    <row r="4" spans="1:13" x14ac:dyDescent="0.25">
      <c r="A4" s="7">
        <v>3</v>
      </c>
      <c r="B4" s="6" t="s">
        <v>30</v>
      </c>
      <c r="C4" t="s">
        <v>43</v>
      </c>
      <c r="D4">
        <v>1548536</v>
      </c>
      <c r="E4">
        <v>254599</v>
      </c>
      <c r="F4">
        <v>56527</v>
      </c>
      <c r="G4">
        <v>269110</v>
      </c>
      <c r="H4">
        <v>1916023</v>
      </c>
      <c r="I4">
        <v>48908</v>
      </c>
      <c r="J4">
        <v>27377</v>
      </c>
      <c r="K4">
        <v>151360</v>
      </c>
      <c r="L4">
        <v>152295</v>
      </c>
      <c r="M4" s="6"/>
    </row>
    <row r="5" spans="1:13" x14ac:dyDescent="0.25">
      <c r="A5" s="7">
        <v>4</v>
      </c>
      <c r="B5" s="13" t="s">
        <v>31</v>
      </c>
      <c r="C5" t="s">
        <v>44</v>
      </c>
      <c r="D5">
        <v>1402361</v>
      </c>
      <c r="E5">
        <v>236798</v>
      </c>
      <c r="F5">
        <v>60720</v>
      </c>
      <c r="G5">
        <v>275288</v>
      </c>
      <c r="H5">
        <v>1891762</v>
      </c>
      <c r="I5">
        <v>49667</v>
      </c>
      <c r="J5">
        <v>26412</v>
      </c>
      <c r="K5">
        <v>146714</v>
      </c>
      <c r="L5">
        <v>154817</v>
      </c>
      <c r="M5" s="6"/>
    </row>
    <row r="6" spans="1:13" x14ac:dyDescent="0.25">
      <c r="A6" s="7">
        <v>5</v>
      </c>
      <c r="B6" s="6" t="s">
        <v>28</v>
      </c>
      <c r="C6" t="s">
        <v>45</v>
      </c>
      <c r="D6">
        <v>5670592</v>
      </c>
      <c r="E6">
        <v>452676</v>
      </c>
      <c r="F6">
        <v>18847</v>
      </c>
      <c r="G6">
        <v>638203</v>
      </c>
      <c r="H6">
        <v>3787800</v>
      </c>
      <c r="I6">
        <v>109993</v>
      </c>
      <c r="J6">
        <v>322268</v>
      </c>
      <c r="K6">
        <v>327242</v>
      </c>
      <c r="L6">
        <v>409542</v>
      </c>
      <c r="M6" s="6"/>
    </row>
    <row r="7" spans="1:13" x14ac:dyDescent="0.25">
      <c r="A7" s="7">
        <v>6</v>
      </c>
      <c r="B7" s="6" t="s">
        <v>29</v>
      </c>
      <c r="C7" t="s">
        <v>46</v>
      </c>
      <c r="D7">
        <v>5629068</v>
      </c>
      <c r="E7">
        <v>434792</v>
      </c>
      <c r="F7">
        <v>17122</v>
      </c>
      <c r="G7">
        <v>624011</v>
      </c>
      <c r="H7">
        <v>3693249</v>
      </c>
      <c r="I7">
        <v>104719</v>
      </c>
      <c r="J7">
        <v>298632</v>
      </c>
      <c r="K7">
        <v>318729</v>
      </c>
      <c r="L7">
        <v>406651</v>
      </c>
      <c r="M7" s="6"/>
    </row>
    <row r="8" spans="1:13" x14ac:dyDescent="0.25">
      <c r="A8" s="7">
        <v>7</v>
      </c>
      <c r="B8" s="6" t="s">
        <v>30</v>
      </c>
      <c r="C8" t="s">
        <v>47</v>
      </c>
      <c r="D8">
        <v>4211079</v>
      </c>
      <c r="E8">
        <v>297277</v>
      </c>
      <c r="F8">
        <v>65559</v>
      </c>
      <c r="G8">
        <v>447638</v>
      </c>
      <c r="H8">
        <v>2663926</v>
      </c>
      <c r="I8">
        <v>68341</v>
      </c>
      <c r="J8">
        <v>159415</v>
      </c>
      <c r="K8">
        <v>249624</v>
      </c>
      <c r="L8">
        <v>280024</v>
      </c>
      <c r="M8" s="6"/>
    </row>
    <row r="9" spans="1:13" x14ac:dyDescent="0.25">
      <c r="A9" s="7">
        <v>8</v>
      </c>
      <c r="B9" s="13" t="s">
        <v>31</v>
      </c>
      <c r="C9" t="s">
        <v>48</v>
      </c>
      <c r="D9">
        <v>4142966</v>
      </c>
      <c r="E9">
        <v>290724</v>
      </c>
      <c r="F9">
        <v>63702</v>
      </c>
      <c r="G9">
        <v>454810</v>
      </c>
      <c r="H9">
        <v>2650755</v>
      </c>
      <c r="I9">
        <v>70482</v>
      </c>
      <c r="J9">
        <v>151458</v>
      </c>
      <c r="K9">
        <v>245142</v>
      </c>
      <c r="L9">
        <v>262020</v>
      </c>
      <c r="M9" s="6"/>
    </row>
    <row r="10" spans="1:13" s="3" customFormat="1" x14ac:dyDescent="0.25">
      <c r="A10" s="7">
        <v>9</v>
      </c>
      <c r="B10" s="6" t="s">
        <v>28</v>
      </c>
      <c r="C10" t="s">
        <v>53</v>
      </c>
      <c r="D10">
        <v>6817685</v>
      </c>
      <c r="E10">
        <v>483605</v>
      </c>
      <c r="F10">
        <v>110105</v>
      </c>
      <c r="G10">
        <v>424224</v>
      </c>
      <c r="H10">
        <v>3888396</v>
      </c>
      <c r="I10">
        <v>111392</v>
      </c>
      <c r="J10">
        <v>156399</v>
      </c>
      <c r="K10">
        <v>360544</v>
      </c>
      <c r="L10">
        <v>369161</v>
      </c>
      <c r="M10" s="6"/>
    </row>
    <row r="11" spans="1:13" s="3" customFormat="1" x14ac:dyDescent="0.25">
      <c r="A11" s="7">
        <v>10</v>
      </c>
      <c r="B11" s="6" t="s">
        <v>29</v>
      </c>
      <c r="C11" t="s">
        <v>54</v>
      </c>
      <c r="D11">
        <v>4495386</v>
      </c>
      <c r="E11">
        <v>475467</v>
      </c>
      <c r="F11">
        <v>96712</v>
      </c>
      <c r="G11">
        <v>414655</v>
      </c>
      <c r="H11">
        <v>3767101</v>
      </c>
      <c r="I11">
        <v>115563</v>
      </c>
      <c r="J11">
        <v>148752</v>
      </c>
      <c r="K11">
        <v>360711</v>
      </c>
      <c r="L11">
        <v>381387</v>
      </c>
      <c r="M11" s="6"/>
    </row>
    <row r="12" spans="1:13" s="3" customFormat="1" x14ac:dyDescent="0.25">
      <c r="A12" s="7">
        <v>11</v>
      </c>
      <c r="B12" s="6" t="s">
        <v>30</v>
      </c>
      <c r="C12" t="s">
        <v>55</v>
      </c>
      <c r="D12">
        <v>5294946</v>
      </c>
      <c r="E12">
        <v>305148</v>
      </c>
      <c r="F12">
        <v>75843</v>
      </c>
      <c r="G12">
        <v>449364</v>
      </c>
      <c r="H12">
        <v>3063391</v>
      </c>
      <c r="I12">
        <v>59235</v>
      </c>
      <c r="J12">
        <v>126376</v>
      </c>
      <c r="K12">
        <v>283370</v>
      </c>
      <c r="L12">
        <v>260417</v>
      </c>
      <c r="M12" s="6"/>
    </row>
    <row r="13" spans="1:13" s="3" customFormat="1" x14ac:dyDescent="0.25">
      <c r="A13" s="7">
        <v>12</v>
      </c>
      <c r="B13" s="6" t="s">
        <v>31</v>
      </c>
      <c r="C13" t="s">
        <v>56</v>
      </c>
      <c r="D13">
        <v>5434913</v>
      </c>
      <c r="E13">
        <v>309088</v>
      </c>
      <c r="F13">
        <v>76086</v>
      </c>
      <c r="G13">
        <v>434074</v>
      </c>
      <c r="H13">
        <v>2982141</v>
      </c>
      <c r="I13">
        <v>66191</v>
      </c>
      <c r="J13">
        <v>127720</v>
      </c>
      <c r="K13">
        <v>275690</v>
      </c>
      <c r="L13">
        <v>272069</v>
      </c>
      <c r="M13" s="6"/>
    </row>
    <row r="14" spans="1:13" s="3" customFormat="1" x14ac:dyDescent="0.25">
      <c r="A14" s="7"/>
      <c r="B14" s="6"/>
      <c r="C14" s="1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s="3" customFormat="1" x14ac:dyDescent="0.25">
      <c r="A15" s="7"/>
      <c r="B15" s="6"/>
      <c r="C15" s="1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s="3" customFormat="1" ht="14.1" customHeight="1" x14ac:dyDescent="0.25">
      <c r="A16" s="7"/>
      <c r="B16" s="6"/>
      <c r="C16" s="1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s="3" customFormat="1" ht="14.1" customHeight="1" x14ac:dyDescent="0.25">
      <c r="A17" s="7"/>
      <c r="B17" s="6"/>
      <c r="C17" s="1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4.1" customHeight="1" x14ac:dyDescent="0.25">
      <c r="B18" s="6"/>
      <c r="C18" s="1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4.1" customHeight="1" x14ac:dyDescent="0.25">
      <c r="B19" s="6"/>
      <c r="C19" s="1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4.1" customHeight="1" x14ac:dyDescent="0.25">
      <c r="B20" s="6"/>
      <c r="C20" s="1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4.1" customHeight="1" x14ac:dyDescent="0.25">
      <c r="B21" s="6"/>
      <c r="C21" s="1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14.1" customHeight="1" x14ac:dyDescent="0.25">
      <c r="B22" s="6"/>
      <c r="C22" s="1"/>
      <c r="D22" s="6"/>
      <c r="E22" s="6"/>
      <c r="F22" s="6"/>
      <c r="G22" s="6"/>
      <c r="H22" s="6"/>
      <c r="I22" s="6"/>
      <c r="J22" s="6"/>
      <c r="K22" s="6"/>
      <c r="L22" s="6"/>
      <c r="M22" s="12"/>
    </row>
    <row r="23" spans="1:13" x14ac:dyDescent="0.25">
      <c r="B23" s="6"/>
      <c r="C23" s="1"/>
      <c r="D23" s="6"/>
      <c r="E23" s="6"/>
      <c r="F23" s="6"/>
      <c r="G23" s="6"/>
      <c r="H23" s="6"/>
      <c r="I23" s="6"/>
      <c r="J23" s="6"/>
      <c r="K23" s="6"/>
      <c r="L23" s="6"/>
      <c r="M23" s="12"/>
    </row>
    <row r="24" spans="1:13" x14ac:dyDescent="0.25">
      <c r="B24" s="6"/>
      <c r="C24" s="1"/>
      <c r="D24" s="6"/>
      <c r="E24" s="6"/>
      <c r="F24" s="6"/>
      <c r="G24" s="6"/>
      <c r="H24" s="6"/>
      <c r="I24" s="6"/>
      <c r="J24" s="6"/>
      <c r="K24" s="6"/>
      <c r="L24" s="6"/>
      <c r="M24" s="12"/>
    </row>
    <row r="25" spans="1:13" x14ac:dyDescent="0.25">
      <c r="B25" s="6"/>
      <c r="C25" s="1"/>
      <c r="D25" s="6"/>
      <c r="E25" s="6"/>
      <c r="F25" s="6"/>
      <c r="G25" s="6"/>
      <c r="H25" s="6"/>
      <c r="I25" s="6"/>
      <c r="J25" s="6"/>
      <c r="K25" s="6"/>
      <c r="L25" s="6"/>
      <c r="M25" s="12"/>
    </row>
    <row r="26" spans="1:13" x14ac:dyDescent="0.25">
      <c r="B26" s="6"/>
      <c r="C26" s="1"/>
      <c r="D26" s="6"/>
      <c r="E26" s="6"/>
      <c r="F26" s="6"/>
      <c r="G26" s="6"/>
      <c r="H26" s="6"/>
      <c r="I26" s="6"/>
      <c r="J26" s="6"/>
      <c r="K26" s="6"/>
      <c r="L26" s="6"/>
      <c r="M26" s="12"/>
    </row>
    <row r="27" spans="1:13" x14ac:dyDescent="0.25">
      <c r="B27" s="6"/>
      <c r="C27" s="1"/>
      <c r="D27" s="6"/>
      <c r="E27" s="6"/>
      <c r="F27" s="6"/>
      <c r="G27" s="6"/>
      <c r="H27" s="6"/>
      <c r="I27" s="6"/>
      <c r="J27" s="6"/>
      <c r="K27" s="6"/>
      <c r="L27" s="6"/>
      <c r="M27" s="12"/>
    </row>
    <row r="28" spans="1:13" x14ac:dyDescent="0.25">
      <c r="B28" s="6"/>
      <c r="C28" s="1"/>
      <c r="D28" s="6"/>
      <c r="E28" s="6"/>
      <c r="F28" s="6"/>
      <c r="G28" s="6"/>
      <c r="H28" s="6"/>
      <c r="I28" s="6"/>
      <c r="J28" s="6"/>
      <c r="K28" s="6"/>
      <c r="L28" s="6"/>
      <c r="M28" s="12"/>
    </row>
    <row r="29" spans="1:13" x14ac:dyDescent="0.25">
      <c r="B29" s="6"/>
      <c r="C29" s="1"/>
      <c r="D29" s="6"/>
      <c r="E29" s="6"/>
      <c r="F29" s="6"/>
      <c r="G29" s="6"/>
      <c r="H29" s="6"/>
      <c r="I29" s="6"/>
      <c r="J29" s="6"/>
      <c r="K29" s="6"/>
      <c r="L29" s="6"/>
      <c r="M29" s="12"/>
    </row>
    <row r="30" spans="1:13" x14ac:dyDescent="0.25">
      <c r="B30" s="6"/>
      <c r="C30" s="1"/>
      <c r="D30" s="6"/>
      <c r="E30" s="6"/>
      <c r="F30" s="6"/>
      <c r="G30" s="6"/>
      <c r="H30" s="6"/>
      <c r="I30" s="6"/>
      <c r="J30" s="6"/>
      <c r="K30" s="6"/>
      <c r="L30" s="6"/>
      <c r="M30" s="12"/>
    </row>
    <row r="31" spans="1:13" x14ac:dyDescent="0.25">
      <c r="B31" s="6"/>
      <c r="C31" s="1"/>
      <c r="D31" s="6"/>
      <c r="E31" s="6"/>
      <c r="F31" s="6"/>
      <c r="G31" s="6"/>
      <c r="H31" s="6"/>
      <c r="I31" s="6"/>
      <c r="J31" s="6"/>
      <c r="K31" s="6"/>
      <c r="L31" s="6"/>
      <c r="M31" s="12"/>
    </row>
    <row r="32" spans="1:13" x14ac:dyDescent="0.25">
      <c r="B32" s="6"/>
      <c r="C32" s="1"/>
      <c r="D32" s="6"/>
      <c r="E32" s="6"/>
      <c r="F32" s="6"/>
      <c r="G32" s="6"/>
      <c r="H32" s="6"/>
      <c r="I32" s="6"/>
      <c r="J32" s="6"/>
      <c r="K32" s="6"/>
      <c r="L32" s="6"/>
      <c r="M32" s="12"/>
    </row>
    <row r="33" spans="2:13" x14ac:dyDescent="0.25">
      <c r="B33" s="6"/>
      <c r="C33" s="1"/>
      <c r="D33" s="6"/>
      <c r="E33" s="6"/>
      <c r="F33" s="6"/>
      <c r="G33" s="6"/>
      <c r="H33" s="6"/>
      <c r="I33" s="6"/>
      <c r="J33" s="6"/>
      <c r="K33" s="6"/>
      <c r="L33" s="6"/>
      <c r="M33" s="12"/>
    </row>
    <row r="34" spans="2:13" x14ac:dyDescent="0.25">
      <c r="B34" s="6"/>
      <c r="C34" s="1"/>
      <c r="D34" s="6"/>
      <c r="E34" s="6"/>
      <c r="F34" s="6"/>
      <c r="G34" s="6"/>
      <c r="H34" s="6"/>
      <c r="I34" s="6"/>
      <c r="J34" s="6"/>
      <c r="K34" s="6"/>
      <c r="L34" s="6"/>
      <c r="M34" s="12"/>
    </row>
    <row r="35" spans="2:13" x14ac:dyDescent="0.25">
      <c r="B35" s="6"/>
      <c r="C35" s="1"/>
      <c r="D35" s="6"/>
      <c r="E35" s="6"/>
      <c r="F35" s="6"/>
      <c r="G35" s="6"/>
      <c r="H35" s="6"/>
      <c r="I35" s="6"/>
      <c r="J35" s="6"/>
      <c r="K35" s="6"/>
      <c r="L35" s="6"/>
      <c r="M35" s="12"/>
    </row>
    <row r="36" spans="2:13" x14ac:dyDescent="0.25">
      <c r="B36" s="6"/>
      <c r="C36" s="1"/>
      <c r="D36" s="6"/>
      <c r="E36" s="6"/>
      <c r="F36" s="6"/>
      <c r="G36" s="6"/>
      <c r="H36" s="6"/>
      <c r="I36" s="6"/>
      <c r="J36" s="6"/>
      <c r="K36" s="6"/>
      <c r="L36" s="6"/>
      <c r="M36" s="12"/>
    </row>
    <row r="37" spans="2:13" x14ac:dyDescent="0.25">
      <c r="B37" s="6"/>
      <c r="C37" s="1"/>
      <c r="D37" s="6"/>
      <c r="E37" s="6"/>
      <c r="F37" s="6"/>
      <c r="G37" s="6"/>
      <c r="H37" s="6"/>
      <c r="I37" s="6"/>
      <c r="J37" s="6"/>
      <c r="K37" s="6"/>
      <c r="L37" s="6"/>
      <c r="M37" s="12"/>
    </row>
    <row r="38" spans="2:13" x14ac:dyDescent="0.25">
      <c r="B38" s="6"/>
      <c r="C38" s="1"/>
      <c r="D38" s="6"/>
      <c r="E38" s="6"/>
      <c r="F38" s="6"/>
      <c r="G38" s="6"/>
      <c r="H38" s="6"/>
      <c r="I38" s="6"/>
      <c r="J38" s="6"/>
      <c r="K38" s="6"/>
      <c r="L38" s="6"/>
      <c r="M38" s="12"/>
    </row>
    <row r="39" spans="2:13" x14ac:dyDescent="0.25">
      <c r="B39" s="6"/>
      <c r="C39" s="1"/>
      <c r="D39" s="6"/>
      <c r="E39" s="6"/>
      <c r="F39" s="6"/>
      <c r="G39" s="6"/>
      <c r="H39" s="6"/>
      <c r="I39" s="6"/>
      <c r="J39" s="6"/>
      <c r="K39" s="6"/>
      <c r="L39" s="6"/>
      <c r="M39" s="12"/>
    </row>
    <row r="40" spans="2:13" x14ac:dyDescent="0.25">
      <c r="B40" s="6"/>
      <c r="C40" s="1"/>
      <c r="D40" s="6"/>
      <c r="E40" s="6"/>
      <c r="F40" s="6"/>
      <c r="G40" s="6"/>
      <c r="H40" s="6"/>
      <c r="I40" s="6"/>
      <c r="J40" s="6"/>
      <c r="K40" s="6"/>
      <c r="L40" s="6"/>
      <c r="M40" s="12"/>
    </row>
    <row r="41" spans="2:13" x14ac:dyDescent="0.25">
      <c r="B41" s="6"/>
      <c r="C41" s="1"/>
      <c r="D41" s="6"/>
      <c r="E41" s="6"/>
      <c r="F41" s="6"/>
      <c r="G41" s="6"/>
      <c r="H41" s="6"/>
      <c r="I41" s="6"/>
      <c r="J41" s="6"/>
      <c r="K41" s="6"/>
      <c r="L41" s="6"/>
      <c r="M41" s="12"/>
    </row>
    <row r="42" spans="2:13" x14ac:dyDescent="0.25"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2:13" x14ac:dyDescent="0.25"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2:13" x14ac:dyDescent="0.25"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2:13" x14ac:dyDescent="0.25"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2:13" x14ac:dyDescent="0.25"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2:13" x14ac:dyDescent="0.25"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2:13" x14ac:dyDescent="0.25"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 x14ac:dyDescent="0.25"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 x14ac:dyDescent="0.25"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x14ac:dyDescent="0.25"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 x14ac:dyDescent="0.25">
      <c r="A52" s="8"/>
      <c r="B52" s="8"/>
      <c r="I52" s="5"/>
    </row>
    <row r="53" spans="1:13" x14ac:dyDescent="0.25">
      <c r="A53" s="8"/>
      <c r="B53" s="8"/>
      <c r="I53" s="5"/>
    </row>
    <row r="54" spans="1:13" x14ac:dyDescent="0.25">
      <c r="A54" s="8"/>
      <c r="B54" s="8"/>
      <c r="I54" s="5"/>
    </row>
    <row r="55" spans="1:13" x14ac:dyDescent="0.25">
      <c r="A55" s="8"/>
      <c r="B55" s="8"/>
      <c r="I55" s="5"/>
    </row>
    <row r="56" spans="1:13" x14ac:dyDescent="0.25">
      <c r="A56" s="8"/>
      <c r="B56" s="8"/>
      <c r="I56" s="5"/>
    </row>
    <row r="57" spans="1:13" x14ac:dyDescent="0.25">
      <c r="A57" s="8"/>
      <c r="B57" s="8"/>
      <c r="I57" s="5"/>
    </row>
    <row r="58" spans="1:13" x14ac:dyDescent="0.25">
      <c r="A58" s="8"/>
      <c r="B58" s="8"/>
      <c r="I58" s="5"/>
    </row>
    <row r="59" spans="1:13" x14ac:dyDescent="0.25">
      <c r="A59" s="8"/>
      <c r="B59" s="8"/>
      <c r="I59" s="5"/>
    </row>
    <row r="60" spans="1:13" x14ac:dyDescent="0.25">
      <c r="A60" s="8"/>
      <c r="B60" s="8"/>
      <c r="I60" s="5"/>
    </row>
    <row r="61" spans="1:13" x14ac:dyDescent="0.25">
      <c r="A61" s="8"/>
      <c r="B61" s="8"/>
      <c r="I61" s="5"/>
    </row>
    <row r="62" spans="1:13" x14ac:dyDescent="0.25">
      <c r="A62" s="8"/>
      <c r="B62" s="8"/>
      <c r="I62" s="5"/>
    </row>
    <row r="63" spans="1:13" x14ac:dyDescent="0.25">
      <c r="A63" s="8"/>
      <c r="B63" s="8"/>
      <c r="I63" s="5"/>
    </row>
    <row r="64" spans="1:13" x14ac:dyDescent="0.25">
      <c r="A64" s="8"/>
      <c r="B64" s="8"/>
      <c r="I64" s="5"/>
    </row>
    <row r="65" spans="1:9" x14ac:dyDescent="0.25">
      <c r="A65" s="8"/>
      <c r="B65" s="8"/>
      <c r="I65" s="5"/>
    </row>
    <row r="66" spans="1:9" x14ac:dyDescent="0.25">
      <c r="A66" s="8"/>
      <c r="B66" s="8"/>
      <c r="I66" s="5"/>
    </row>
    <row r="67" spans="1:9" x14ac:dyDescent="0.25">
      <c r="A67" s="8"/>
      <c r="B67" s="8"/>
      <c r="I67" s="5"/>
    </row>
    <row r="68" spans="1:9" x14ac:dyDescent="0.25">
      <c r="A68" s="8"/>
      <c r="B68" s="8"/>
      <c r="I68" s="5"/>
    </row>
    <row r="69" spans="1:9" x14ac:dyDescent="0.25">
      <c r="A69" s="8"/>
      <c r="B69" s="8"/>
      <c r="I69" s="5"/>
    </row>
    <row r="70" spans="1:9" x14ac:dyDescent="0.25">
      <c r="A70" s="8"/>
      <c r="B70" s="8"/>
      <c r="I70" s="5"/>
    </row>
    <row r="71" spans="1:9" x14ac:dyDescent="0.25">
      <c r="A71" s="8"/>
      <c r="B71" s="8"/>
      <c r="I71" s="5"/>
    </row>
    <row r="72" spans="1:9" x14ac:dyDescent="0.25">
      <c r="I7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QC_neg Spiked</vt:lpstr>
      <vt:lpstr>QC_pos Spiked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Miaomiao@DTSC</dc:creator>
  <cp:lastModifiedBy>Wang, Miaomiao@DTSC</cp:lastModifiedBy>
  <dcterms:created xsi:type="dcterms:W3CDTF">2020-01-27T18:52:12Z</dcterms:created>
  <dcterms:modified xsi:type="dcterms:W3CDTF">2024-12-12T03:39:40Z</dcterms:modified>
</cp:coreProperties>
</file>